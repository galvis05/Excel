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040B98B7600-LAPTOP\Desktop\"/>
    </mc:Choice>
  </mc:AlternateContent>
  <xr:revisionPtr revIDLastSave="0" documentId="13_ncr:1_{856E4D3B-FF7D-4E76-9FDF-49514A99AA6C}" xr6:coauthVersionLast="47" xr6:coauthVersionMax="47" xr10:uidLastSave="{00000000-0000-0000-0000-000000000000}"/>
  <bookViews>
    <workbookView xWindow="-120" yWindow="-120" windowWidth="20730" windowHeight="11040" activeTab="4" xr2:uid="{00000000-000D-0000-FFFF-FFFF00000000}"/>
  </bookViews>
  <sheets>
    <sheet name="Dashboard" sheetId="6" r:id="rId1"/>
    <sheet name="Head Count" sheetId="13" r:id="rId2"/>
    <sheet name="Plan Info" sheetId="14" r:id="rId3"/>
    <sheet name="Recruitment Clients" sheetId="1" r:id="rId4"/>
    <sheet name="Logistics Revenue" sheetId="10" r:id="rId5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4" l="1"/>
  <c r="F29" i="6"/>
  <c r="C10" i="14"/>
  <c r="F10" i="14" s="1"/>
  <c r="G10" i="14" s="1"/>
  <c r="F30" i="6"/>
  <c r="C8" i="14"/>
  <c r="F8" i="14" s="1"/>
  <c r="G8" i="14" s="1"/>
  <c r="C7" i="14"/>
  <c r="F7" i="14" s="1"/>
  <c r="G7" i="14" s="1"/>
  <c r="C6" i="14"/>
  <c r="C5" i="14"/>
  <c r="F5" i="14" s="1"/>
  <c r="G5" i="14" s="1"/>
  <c r="C4" i="14"/>
  <c r="C3" i="14"/>
  <c r="D8" i="14"/>
  <c r="D7" i="14"/>
  <c r="D6" i="14"/>
  <c r="E6" i="14" s="1"/>
  <c r="F6" i="14"/>
  <c r="G6" i="14" s="1"/>
  <c r="D5" i="14"/>
  <c r="D4" i="14"/>
  <c r="D3" i="14"/>
  <c r="E3" i="14" s="1"/>
  <c r="F3" i="14"/>
  <c r="G3" i="14" s="1"/>
  <c r="C23" i="13"/>
  <c r="C19" i="13"/>
  <c r="C15" i="13"/>
  <c r="C11" i="13"/>
  <c r="C7" i="13"/>
  <c r="C16" i="13" s="1"/>
  <c r="C22" i="13" s="1"/>
  <c r="C23" i="6"/>
  <c r="D18" i="1"/>
  <c r="F18" i="1" s="1"/>
  <c r="E8" i="14" l="1"/>
  <c r="E7" i="14"/>
  <c r="E5" i="14"/>
  <c r="F4" i="14"/>
  <c r="G4" i="14" s="1"/>
  <c r="E10" i="14"/>
  <c r="E4" i="14"/>
  <c r="D9" i="14"/>
  <c r="T18" i="1"/>
  <c r="R18" i="1"/>
  <c r="P18" i="1"/>
  <c r="L18" i="1"/>
  <c r="N18" i="1" s="1"/>
  <c r="J18" i="1"/>
  <c r="H18" i="1"/>
  <c r="E9" i="14" l="1"/>
  <c r="F9" i="14"/>
  <c r="G9" i="14" s="1"/>
  <c r="D6" i="10"/>
  <c r="D4" i="10"/>
  <c r="D5" i="10"/>
  <c r="D3" i="10"/>
  <c r="P17" i="1"/>
  <c r="N17" i="1"/>
  <c r="F26" i="6" l="1"/>
  <c r="F25" i="6"/>
  <c r="F27" i="6"/>
  <c r="F28" i="6"/>
  <c r="F24" i="6"/>
  <c r="F23" i="6"/>
  <c r="C19" i="6"/>
  <c r="C15" i="6"/>
  <c r="C11" i="6"/>
  <c r="C7" i="6"/>
  <c r="O27" i="1"/>
  <c r="G28" i="6" s="1"/>
  <c r="Q27" i="1"/>
  <c r="S27" i="1"/>
  <c r="M27" i="1"/>
  <c r="D4" i="1"/>
  <c r="D5" i="1"/>
  <c r="P5" i="1" s="1"/>
  <c r="D6" i="1"/>
  <c r="P6" i="1" s="1"/>
  <c r="D7" i="1"/>
  <c r="P7" i="1" s="1"/>
  <c r="D8" i="1"/>
  <c r="P8" i="1" s="1"/>
  <c r="D9" i="1"/>
  <c r="P9" i="1" s="1"/>
  <c r="D10" i="1"/>
  <c r="P10" i="1" s="1"/>
  <c r="D11" i="1"/>
  <c r="P11" i="1" s="1"/>
  <c r="D12" i="1"/>
  <c r="P12" i="1" s="1"/>
  <c r="D13" i="1"/>
  <c r="P13" i="1" s="1"/>
  <c r="D14" i="1"/>
  <c r="P14" i="1" s="1"/>
  <c r="D15" i="1"/>
  <c r="P15" i="1" s="1"/>
  <c r="D16" i="1"/>
  <c r="P16" i="1" s="1"/>
  <c r="D17" i="1"/>
  <c r="D3" i="1"/>
  <c r="P3" i="1" s="1"/>
  <c r="P4" i="1" l="1"/>
  <c r="P27" i="1" s="1"/>
  <c r="U18" i="1"/>
  <c r="C16" i="6"/>
  <c r="C22" i="6" s="1"/>
  <c r="G27" i="6"/>
  <c r="F17" i="1"/>
  <c r="F16" i="1"/>
  <c r="F15" i="1"/>
  <c r="I30" i="6"/>
  <c r="T14" i="1"/>
  <c r="T17" i="1" l="1"/>
  <c r="R17" i="1"/>
  <c r="L17" i="1"/>
  <c r="J17" i="1"/>
  <c r="H17" i="1"/>
  <c r="T16" i="1"/>
  <c r="R16" i="1"/>
  <c r="L16" i="1"/>
  <c r="N16" i="1" s="1"/>
  <c r="J16" i="1"/>
  <c r="H16" i="1"/>
  <c r="R15" i="1"/>
  <c r="L15" i="1"/>
  <c r="N15" i="1" s="1"/>
  <c r="J15" i="1"/>
  <c r="T15" i="1"/>
  <c r="H15" i="1"/>
  <c r="F14" i="1"/>
  <c r="H14" i="1"/>
  <c r="J14" i="1"/>
  <c r="L14" i="1"/>
  <c r="N14" i="1" s="1"/>
  <c r="R14" i="1"/>
  <c r="T13" i="1"/>
  <c r="F3" i="6"/>
  <c r="F13" i="1" l="1"/>
  <c r="H13" i="1"/>
  <c r="J13" i="1"/>
  <c r="L13" i="1"/>
  <c r="N13" i="1" s="1"/>
  <c r="R13" i="1"/>
  <c r="L12" i="1"/>
  <c r="N12" i="1" s="1"/>
  <c r="E27" i="1"/>
  <c r="E28" i="1" s="1"/>
  <c r="I27" i="1"/>
  <c r="G26" i="6" s="1"/>
  <c r="L5" i="1"/>
  <c r="N5" i="1" s="1"/>
  <c r="L6" i="1"/>
  <c r="N6" i="1" s="1"/>
  <c r="L7" i="1"/>
  <c r="N7" i="1" s="1"/>
  <c r="K27" i="1"/>
  <c r="G25" i="6" s="1"/>
  <c r="G27" i="1"/>
  <c r="I28" i="6" l="1"/>
  <c r="J28" i="6" s="1"/>
  <c r="H28" i="6"/>
  <c r="I27" i="6"/>
  <c r="J27" i="6" s="1"/>
  <c r="H27" i="6"/>
  <c r="U17" i="1"/>
  <c r="J4" i="1"/>
  <c r="U16" i="1"/>
  <c r="U15" i="1"/>
  <c r="U13" i="1"/>
  <c r="U14" i="1"/>
  <c r="H30" i="6"/>
  <c r="J30" i="6"/>
  <c r="I26" i="6"/>
  <c r="H26" i="6"/>
  <c r="G24" i="6"/>
  <c r="G23" i="6"/>
  <c r="I25" i="6"/>
  <c r="J25" i="6" s="1"/>
  <c r="H25" i="6"/>
  <c r="R12" i="1"/>
  <c r="T12" i="1"/>
  <c r="U12" i="1"/>
  <c r="F12" i="1"/>
  <c r="H12" i="1"/>
  <c r="J12" i="1"/>
  <c r="F3" i="1"/>
  <c r="D27" i="1"/>
  <c r="H3" i="1"/>
  <c r="U8" i="1"/>
  <c r="U9" i="1"/>
  <c r="U10" i="1"/>
  <c r="U11" i="1"/>
  <c r="F8" i="1"/>
  <c r="F9" i="1"/>
  <c r="F10" i="1"/>
  <c r="F11" i="1"/>
  <c r="H8" i="1"/>
  <c r="H9" i="1"/>
  <c r="H10" i="1"/>
  <c r="H11" i="1"/>
  <c r="J11" i="1"/>
  <c r="L8" i="1"/>
  <c r="N8" i="1" s="1"/>
  <c r="L9" i="1"/>
  <c r="N9" i="1" s="1"/>
  <c r="L10" i="1"/>
  <c r="N10" i="1" s="1"/>
  <c r="L11" i="1"/>
  <c r="N11" i="1" s="1"/>
  <c r="R8" i="1"/>
  <c r="R9" i="1"/>
  <c r="R10" i="1"/>
  <c r="R11" i="1"/>
  <c r="U4" i="1"/>
  <c r="T8" i="1"/>
  <c r="T9" i="1"/>
  <c r="T10" i="1"/>
  <c r="T11" i="1"/>
  <c r="J8" i="1"/>
  <c r="J9" i="1"/>
  <c r="J10" i="1"/>
  <c r="F4" i="1"/>
  <c r="H4" i="1"/>
  <c r="L4" i="1"/>
  <c r="N4" i="1" s="1"/>
  <c r="R4" i="1"/>
  <c r="T4" i="1"/>
  <c r="L3" i="1"/>
  <c r="N3" i="1" s="1"/>
  <c r="N27" i="1" s="1"/>
  <c r="R27" i="1" l="1"/>
  <c r="T27" i="1"/>
  <c r="G3" i="6"/>
  <c r="G29" i="6"/>
  <c r="H29" i="6" s="1"/>
  <c r="J26" i="6"/>
  <c r="I24" i="6"/>
  <c r="H24" i="6"/>
  <c r="I23" i="6"/>
  <c r="J23" i="6" s="1"/>
  <c r="H23" i="6"/>
  <c r="I3" i="6" s="1"/>
  <c r="F27" i="1"/>
  <c r="J27" i="1"/>
  <c r="R5" i="1"/>
  <c r="H5" i="1"/>
  <c r="R7" i="1"/>
  <c r="H7" i="1"/>
  <c r="R6" i="1"/>
  <c r="H6" i="1"/>
  <c r="T6" i="1"/>
  <c r="T7" i="1"/>
  <c r="T5" i="1"/>
  <c r="F6" i="1"/>
  <c r="T3" i="1"/>
  <c r="J7" i="1"/>
  <c r="F7" i="1"/>
  <c r="R3" i="1"/>
  <c r="J5" i="1"/>
  <c r="F5" i="1"/>
  <c r="U7" i="1"/>
  <c r="J6" i="1"/>
  <c r="U3" i="1"/>
  <c r="U6" i="1"/>
  <c r="J3" i="1"/>
  <c r="U5" i="1"/>
  <c r="I29" i="6" l="1"/>
  <c r="J29" i="6" s="1"/>
  <c r="J3" i="6" s="1"/>
  <c r="H3" i="6"/>
  <c r="J24" i="6"/>
  <c r="H27" i="1"/>
  <c r="L27" i="1"/>
</calcChain>
</file>

<file path=xl/sharedStrings.xml><?xml version="1.0" encoding="utf-8"?>
<sst xmlns="http://schemas.openxmlformats.org/spreadsheetml/2006/main" count="125" uniqueCount="78">
  <si>
    <t>IT Premium</t>
  </si>
  <si>
    <t>Client</t>
  </si>
  <si>
    <t>Units</t>
  </si>
  <si>
    <t>Premium+</t>
  </si>
  <si>
    <t>%Premium+</t>
  </si>
  <si>
    <t>Premium</t>
  </si>
  <si>
    <t>%Premium2</t>
  </si>
  <si>
    <t>%IT Premium</t>
  </si>
  <si>
    <t>%IT Premium2</t>
  </si>
  <si>
    <t>Leads</t>
  </si>
  <si>
    <t>%leads</t>
  </si>
  <si>
    <t>Sourcers</t>
  </si>
  <si>
    <t>%Sourcers</t>
  </si>
  <si>
    <t>%</t>
  </si>
  <si>
    <t>HMS</t>
  </si>
  <si>
    <t>Inspiro</t>
  </si>
  <si>
    <t>Heritage</t>
  </si>
  <si>
    <t>J Knipper</t>
  </si>
  <si>
    <t>Mphasis</t>
  </si>
  <si>
    <t>Enersys</t>
  </si>
  <si>
    <t>CoreCivic</t>
  </si>
  <si>
    <t>Solving IT</t>
  </si>
  <si>
    <t>Bearing Point</t>
  </si>
  <si>
    <t>A.C. Theater</t>
  </si>
  <si>
    <t>Tri Star Energy</t>
  </si>
  <si>
    <t xml:space="preserve">Total </t>
  </si>
  <si>
    <t>Max Capacity</t>
  </si>
  <si>
    <t>Actual Capacity</t>
  </si>
  <si>
    <t>IT P. +</t>
  </si>
  <si>
    <t>Premium +</t>
  </si>
  <si>
    <t>Ready to Sell</t>
  </si>
  <si>
    <t>Plan</t>
  </si>
  <si>
    <t>IT Premium +</t>
  </si>
  <si>
    <t>PLAN</t>
  </si>
  <si>
    <t>% Actual Capacity</t>
  </si>
  <si>
    <t xml:space="preserve"> % Ready to Sell</t>
  </si>
  <si>
    <t>Personel</t>
  </si>
  <si>
    <t xml:space="preserve"> %</t>
  </si>
  <si>
    <t>Logistics Lead</t>
  </si>
  <si>
    <t>Dispatcher</t>
  </si>
  <si>
    <t>Dispatch</t>
  </si>
  <si>
    <t>IME</t>
  </si>
  <si>
    <t xml:space="preserve">  </t>
  </si>
  <si>
    <t>Recruitment</t>
  </si>
  <si>
    <t xml:space="preserve"> </t>
  </si>
  <si>
    <t>Halliburton</t>
  </si>
  <si>
    <t>Weaber</t>
  </si>
  <si>
    <t>Idaho Dep H&amp;W</t>
  </si>
  <si>
    <t>SPT</t>
  </si>
  <si>
    <t>SPT +</t>
  </si>
  <si>
    <t>SPT Lead</t>
  </si>
  <si>
    <t>SPT Recruiter</t>
  </si>
  <si>
    <t>Staffing Account Manager</t>
  </si>
  <si>
    <t>SPT %</t>
  </si>
  <si>
    <t>SPT + %</t>
  </si>
  <si>
    <t>Information</t>
  </si>
  <si>
    <t>Recruiter</t>
  </si>
  <si>
    <t>SR Recruiter</t>
  </si>
  <si>
    <t>Head Count General Recruitment</t>
  </si>
  <si>
    <t>SR SPT Recruiter</t>
  </si>
  <si>
    <t>Head Count SPT Recruitment</t>
  </si>
  <si>
    <t>Head Count Logistics</t>
  </si>
  <si>
    <t>Operations Manager</t>
  </si>
  <si>
    <t>IT Recruiter</t>
  </si>
  <si>
    <t>SR IT Recruiter</t>
  </si>
  <si>
    <t>IT Team Lead</t>
  </si>
  <si>
    <t>Head Count IT Recruitment</t>
  </si>
  <si>
    <t>Head Count Recruitment</t>
  </si>
  <si>
    <t>Head Count Total</t>
  </si>
  <si>
    <t>Team Lead (1 client)</t>
  </si>
  <si>
    <t>SR Team Lead (No Client)</t>
  </si>
  <si>
    <t>28 abril</t>
  </si>
  <si>
    <t>21 abril</t>
  </si>
  <si>
    <t>14 abril</t>
  </si>
  <si>
    <t>5 de mayo</t>
  </si>
  <si>
    <t>Daher</t>
  </si>
  <si>
    <t>Clients</t>
  </si>
  <si>
    <t>Drivers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</si>
</sst>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0" fillId="0" borderId="1" xfId="0" applyBorder="1"/>
    <xf numFmtId="0" fontId="0" fillId="0" borderId="2" xfId="0" applyBorder="1"/>
    <xf numFmtId="1" fontId="0" fillId="0" borderId="1" xfId="0" applyNumberFormat="1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9" fontId="0" fillId="0" borderId="1" xfId="1" applyFont="1" applyBorder="1"/>
    <xf numFmtId="10" fontId="0" fillId="0" borderId="2" xfId="1" applyNumberFormat="1" applyFont="1" applyBorder="1"/>
    <xf numFmtId="10" fontId="0" fillId="0" borderId="1" xfId="1" applyNumberFormat="1" applyFont="1" applyBorder="1"/>
    <xf numFmtId="9" fontId="0" fillId="0" borderId="3" xfId="1" applyFont="1" applyBorder="1"/>
    <xf numFmtId="10" fontId="0" fillId="0" borderId="3" xfId="1" applyNumberFormat="1" applyFont="1" applyBorder="1"/>
    <xf numFmtId="10" fontId="0" fillId="0" borderId="8" xfId="0" applyNumberFormat="1" applyBorder="1"/>
    <xf numFmtId="10" fontId="0" fillId="0" borderId="6" xfId="1" applyNumberFormat="1" applyFont="1" applyBorder="1"/>
    <xf numFmtId="0" fontId="0" fillId="0" borderId="6" xfId="1" applyNumberFormat="1" applyFont="1" applyBorder="1"/>
    <xf numFmtId="9" fontId="0" fillId="0" borderId="6" xfId="1" applyFont="1" applyBorder="1"/>
    <xf numFmtId="1" fontId="0" fillId="0" borderId="8" xfId="0" applyNumberFormat="1" applyBorder="1"/>
    <xf numFmtId="1" fontId="0" fillId="0" borderId="1" xfId="1" applyNumberFormat="1" applyFont="1" applyBorder="1"/>
    <xf numFmtId="1" fontId="0" fillId="0" borderId="3" xfId="1" applyNumberFormat="1" applyFont="1" applyBorder="1"/>
    <xf numFmtId="1" fontId="0" fillId="0" borderId="0" xfId="0" applyNumberFormat="1"/>
    <xf numFmtId="10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wrapText="1"/>
    </xf>
    <xf numFmtId="9" fontId="0" fillId="0" borderId="0" xfId="1" applyFont="1" applyBorder="1" applyAlignment="1">
      <alignment vertical="center"/>
    </xf>
    <xf numFmtId="9" fontId="0" fillId="0" borderId="0" xfId="1" applyFont="1" applyBorder="1"/>
    <xf numFmtId="9" fontId="0" fillId="0" borderId="0" xfId="1" applyFont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0" fontId="2" fillId="0" borderId="0" xfId="0" applyFont="1" applyAlignment="1">
      <alignment vertical="center"/>
    </xf>
    <xf numFmtId="0" fontId="0" fillId="0" borderId="0" xfId="0" applyAlignment="1">
      <alignment wrapText="1"/>
    </xf>
    <xf numFmtId="10" fontId="0" fillId="0" borderId="9" xfId="1" applyNumberFormat="1" applyFont="1" applyBorder="1"/>
    <xf numFmtId="0" fontId="0" fillId="0" borderId="9" xfId="0" applyBorder="1"/>
    <xf numFmtId="9" fontId="0" fillId="0" borderId="9" xfId="1" applyFont="1" applyBorder="1"/>
    <xf numFmtId="10" fontId="0" fillId="0" borderId="0" xfId="1" applyNumberFormat="1" applyFont="1" applyBorder="1"/>
    <xf numFmtId="1" fontId="0" fillId="0" borderId="0" xfId="1" applyNumberFormat="1" applyFont="1" applyBorder="1"/>
    <xf numFmtId="44" fontId="0" fillId="0" borderId="0" xfId="3" applyFont="1" applyAlignment="1">
      <alignment horizontal="center"/>
    </xf>
    <xf numFmtId="10" fontId="0" fillId="0" borderId="4" xfId="1" applyNumberFormat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0" fontId="0" fillId="0" borderId="0" xfId="1" applyNumberFormat="1" applyFont="1" applyAlignment="1">
      <alignment horizontal="center"/>
    </xf>
    <xf numFmtId="10" fontId="0" fillId="0" borderId="0" xfId="1" applyNumberFormat="1" applyFont="1"/>
    <xf numFmtId="0" fontId="6" fillId="0" borderId="0" xfId="0" applyFont="1"/>
    <xf numFmtId="0" fontId="6" fillId="0" borderId="0" xfId="0" applyFont="1" applyAlignment="1">
      <alignment horizontal="center"/>
    </xf>
  </cellXfs>
  <cellStyles count="4">
    <cellStyle name="Currency" xfId="3" builtinId="4"/>
    <cellStyle name="Normal" xfId="0" builtinId="0"/>
    <cellStyle name="Normal 2" xfId="2" xr:uid="{7D132D52-783D-4AE2-BEAD-B0E8C7F2FD9A}"/>
    <cellStyle name="Percent" xfId="1" builtinId="5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4" formatCode="0.00%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Dashboard!$E$3</c:f>
              <c:strCache>
                <c:ptCount val="1"/>
                <c:pt idx="0">
                  <c:v>Recruitment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shade val="76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FED-41F3-92E8-5D0FA2C41AF6}"/>
              </c:ext>
            </c:extLst>
          </c:dPt>
          <c:dPt>
            <c:idx val="1"/>
            <c:bubble3D val="0"/>
            <c:spPr>
              <a:solidFill>
                <a:schemeClr val="accent6">
                  <a:tint val="77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E067-42BE-B21C-306D4B9686A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Dashboard!$I$2:$J$2</c:f>
              <c:strCache>
                <c:ptCount val="2"/>
                <c:pt idx="0">
                  <c:v>% Actual Capacity</c:v>
                </c:pt>
                <c:pt idx="1">
                  <c:v> % Ready to Sell</c:v>
                </c:pt>
              </c:strCache>
            </c:strRef>
          </c:cat>
          <c:val>
            <c:numRef>
              <c:f>Dashboard!$I$3:$J$3</c:f>
              <c:numCache>
                <c:formatCode>0%</c:formatCode>
                <c:ptCount val="2"/>
                <c:pt idx="0">
                  <c:v>0.46715328467153283</c:v>
                </c:pt>
                <c:pt idx="1">
                  <c:v>0.53284671532846717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7-42BE-B21C-306D4B9686A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962024</xdr:colOff>
      <xdr:row>3</xdr:row>
      <xdr:rowOff>104774</xdr:rowOff>
    </xdr:from>
    <xdr:to>
      <xdr:col>10</xdr:col>
      <xdr:colOff>0</xdr:colOff>
      <xdr:row>20</xdr:row>
      <xdr:rowOff>95249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FD585E3-CE67-4CF4-BF81-629F5D353D3A}" name="Table8" displayName="Table8" ref="E22:J30" totalsRowShown="0">
  <autoFilter ref="E22:J30" xr:uid="{9FD585E3-CE67-4CF4-BF81-629F5D353D3A}"/>
  <tableColumns count="6">
    <tableColumn id="1" xr3:uid="{C0F80C71-F5D2-405D-81EA-0E6797CBAE5D}" name="PLAN"/>
    <tableColumn id="2" xr3:uid="{28CAFDD6-C068-485A-A47D-46635134A585}" name="Max Capacity" dataDxfId="61"/>
    <tableColumn id="3" xr3:uid="{299DD5A3-3333-4C4E-A87A-570A16B6D638}" name="Actual Capacity" dataDxfId="60"/>
    <tableColumn id="4" xr3:uid="{1452896E-D8DD-4523-BB9F-039680FF1A9D}" name="%" dataDxfId="59" dataCellStyle="Percent">
      <calculatedColumnFormula>G23/F23</calculatedColumnFormula>
    </tableColumn>
    <tableColumn id="5" xr3:uid="{7F741F14-446B-49B2-8A01-6A74FFBE8509}" name="Ready to Sell" dataDxfId="58">
      <calculatedColumnFormula>F23-G23</calculatedColumnFormula>
    </tableColumn>
    <tableColumn id="6" xr3:uid="{ADD1DEC9-CFE5-4B12-A996-559812B46509}" name=" %" dataDxfId="57" dataCellStyle="Percent">
      <calculatedColumnFormula>I23/F23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41222C-9623-4558-8170-8BE0B234FBB9}" name="Table9" displayName="Table9" ref="E2:J3" totalsRowShown="0" headerRowDxfId="56" dataDxfId="55">
  <tableColumns count="6">
    <tableColumn id="1" xr3:uid="{1327DBA3-B211-456C-9FB6-17F9E0A449BC}" name="Plan" dataDxfId="54"/>
    <tableColumn id="2" xr3:uid="{9AF65C95-0357-4E65-ACEC-88F55E6CB5CB}" name="Max Capacity" dataDxfId="53">
      <calculatedColumnFormula>_xlfn.XLOOKUP($E$3,$E$23:$E$30,F23:F30,"Not Found",0,1)</calculatedColumnFormula>
    </tableColumn>
    <tableColumn id="3" xr3:uid="{A45A17A1-ED8A-452C-94FC-932B012691DC}" name="Actual Capacity" dataDxfId="52">
      <calculatedColumnFormula>_xlfn.XLOOKUP($E$3,$E$23:$E$30,G23:G30,"Not Found",0,1)</calculatedColumnFormula>
    </tableColumn>
    <tableColumn id="4" xr3:uid="{86579DE8-E456-4AAC-BC4F-297733246581}" name="Ready to Sell" dataDxfId="51">
      <calculatedColumnFormula>_xlfn.XLOOKUP($E$3,$E$23:$E$30,I23:I30,"Not Found",0,1)</calculatedColumnFormula>
    </tableColumn>
    <tableColumn id="5" xr3:uid="{0C5448A5-13C4-4E7A-B396-B5637180135A}" name="% Actual Capacity" dataDxfId="50" dataCellStyle="Percent">
      <calculatedColumnFormula>_xlfn.XLOOKUP($E$3,$E$23:$E$30,H23:H30,"Not Found",0,1)</calculatedColumnFormula>
    </tableColumn>
    <tableColumn id="6" xr3:uid="{FE85914B-8915-4EF8-AA54-6FB65A4C6F34}" name=" % Ready to Sell" dataDxfId="49" dataCellStyle="Percent">
      <calculatedColumnFormula>_xlfn.XLOOKUP($E$3,$E$23:$E$30,J23:J30,"Not Found",0,1)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9F3E18F-6F22-45D5-99BB-A8305DE9E325}" name="Table2" displayName="Table2" ref="B2:C24" totalsRowShown="0">
  <autoFilter ref="B2:C24" xr:uid="{49F3E18F-6F22-45D5-99BB-A8305DE9E325}"/>
  <tableColumns count="2">
    <tableColumn id="1" xr3:uid="{47DFEB48-8BE5-48A5-AEDC-C38CCF96BC34}" name="Information"/>
    <tableColumn id="2" xr3:uid="{3460C6A0-0E0F-4E9A-9CF5-4DDFDD13354A}" name="Personel" dataDxfId="4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3A4EF2E-A8F0-4632-B503-26714C9EB4B0}" name="Table26" displayName="Table26" ref="B2:C24" totalsRowShown="0">
  <autoFilter ref="B2:C24" xr:uid="{33A4EF2E-A8F0-4632-B503-26714C9EB4B0}"/>
  <tableColumns count="2">
    <tableColumn id="1" xr3:uid="{9B474BDE-B671-483B-8368-7C3DBD71B616}" name="Information"/>
    <tableColumn id="2" xr3:uid="{95A0ACBC-538D-4648-BC13-8C3235C3EC34}" name="Personel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D5A5082-7141-4672-B0DE-8C9B3BE2C5D6}" name="Table88" displayName="Table88" ref="B2:G10" totalsRowShown="0">
  <autoFilter ref="B2:G10" xr:uid="{5D5A5082-7141-4672-B0DE-8C9B3BE2C5D6}"/>
  <tableColumns count="6">
    <tableColumn id="1" xr3:uid="{B3E82772-015D-47D4-BA53-774F94FD4201}" name="PLAN"/>
    <tableColumn id="2" xr3:uid="{C41EF000-7915-4E1E-B48F-589D5AD11682}" name="Max Capacity" dataDxfId="4"/>
    <tableColumn id="3" xr3:uid="{BEDAA52F-8938-4C04-8599-448D42A22AE5}" name="Actual Capacity" dataDxfId="3"/>
    <tableColumn id="4" xr3:uid="{EBEFA76C-67C6-4D87-A2FB-99E8D403D2F2}" name="%" dataDxfId="2" dataCellStyle="Percent">
      <calculatedColumnFormula>D3/C3</calculatedColumnFormula>
    </tableColumn>
    <tableColumn id="5" xr3:uid="{7D71E1BE-9C09-4D9A-B2C4-8F611B114758}" name="Ready to Sell" dataDxfId="1">
      <calculatedColumnFormula>C3-D3</calculatedColumnFormula>
    </tableColumn>
    <tableColumn id="6" xr3:uid="{8F62272F-0DFE-4097-8343-5DB154EE3EF2}" name=" %" dataDxfId="0" dataCellStyle="Percent">
      <calculatedColumnFormula>F3/C3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648CFE-769F-4BC1-BE27-7CA84E26014D}" name="TableDataEentryClients" displayName="TableDataEentryClients" ref="C2:U27" totalsRowCount="1" headerRowDxfId="47" headerRowBorderDxfId="46" tableBorderDxfId="45" totalsRowBorderDxfId="44">
  <autoFilter ref="C2:U26" xr:uid="{E3648CFE-769F-4BC1-BE27-7CA84E26014D}"/>
  <tableColumns count="19">
    <tableColumn id="1" xr3:uid="{91F8DA30-884F-4F02-90AA-DEDEE005E623}" name="Client" totalsRowLabel="Total " dataDxfId="43" totalsRowDxfId="42"/>
    <tableColumn id="2" xr3:uid="{39A03E5A-2858-443D-B952-E04080089CAE}" name="Units" totalsRowFunction="custom" dataDxfId="41" totalsRowDxfId="40">
      <totalsRowFormula>SUM(TableDataEentryClients[Units])</totalsRowFormula>
    </tableColumn>
    <tableColumn id="3" xr3:uid="{91C36579-F407-4ABC-B542-886F29808345}" name="Premium+" totalsRowFunction="custom" dataDxfId="39" totalsRowDxfId="38">
      <totalsRowFormula>SUM(TableDataEentryClients[Premium+])</totalsRowFormula>
    </tableColumn>
    <tableColumn id="7" xr3:uid="{0E340A28-2484-4C04-8C0C-7C80AD6AFE0B}" name="%Premium+" totalsRowFunction="custom" dataDxfId="37" totalsRowDxfId="36">
      <calculatedColumnFormula>TableDataEentryClients[[#This Row],[Premium+]]/TableDataEentryClients[[#This Row],[Units]]</calculatedColumnFormula>
      <totalsRowFormula>SUM(TableDataEentryClients[Premium+])/TableDataEentryClients[[#Totals],[Units]]</totalsRowFormula>
    </tableColumn>
    <tableColumn id="15" xr3:uid="{0AC588DD-EA5E-4ECF-BC8E-A24B2356EDCB}" name="Premium" totalsRowFunction="sum" dataDxfId="35" totalsRowDxfId="34" dataCellStyle="Percent"/>
    <tableColumn id="14" xr3:uid="{DE2DF1FD-6041-4467-86D8-03EB37DEC204}" name="%Premium2" totalsRowFunction="custom" dataDxfId="33" totalsRowDxfId="32" dataCellStyle="Percent">
      <calculatedColumnFormula>TableDataEentryClients[[#This Row],[Premium]]/TableDataEentryClients[[#This Row],[Units]]</calculatedColumnFormula>
      <totalsRowFormula>TableDataEentryClients[[#Totals],[Premium]]/TableDataEentryClients[[#Totals],[Units]]</totalsRowFormula>
    </tableColumn>
    <tableColumn id="4" xr3:uid="{FCE11622-9211-4E7F-9BC6-D907B834FF10}" name="IT P. +" totalsRowFunction="custom" dataDxfId="31" totalsRowDxfId="30">
      <totalsRowFormula>SUM(TableDataEentryClients[IT P. +])</totalsRowFormula>
    </tableColumn>
    <tableColumn id="9" xr3:uid="{1B494827-7100-412A-B6B2-7413D7A038B0}" name="%IT Premium" totalsRowFunction="custom" dataDxfId="29" totalsRowDxfId="28">
      <calculatedColumnFormula>TableDataEentryClients[[#This Row],[IT P. +]]/TableDataEentryClients[[#This Row],[Units]]</calculatedColumnFormula>
      <totalsRowFormula>SUM(TableDataEentryClients[IT P. +])/TableDataEentryClients[[#Totals],[Units]]</totalsRowFormula>
    </tableColumn>
    <tableColumn id="16" xr3:uid="{DCA04EEA-CB4F-4485-9BC4-A520492A627F}" name="IT Premium" totalsRowFunction="sum" dataDxfId="27" totalsRowDxfId="26" dataCellStyle="Percent"/>
    <tableColumn id="17" xr3:uid="{C2F9B99B-48D4-4AC9-87D6-BD8197ECEE42}" name="%IT Premium2" totalsRowFunction="custom" dataDxfId="25" totalsRowDxfId="24" dataCellStyle="Percent">
      <calculatedColumnFormula>TableDataEentryClients[[#This Row],[IT Premium]]/TableDataEentryClients[[#This Row],[Units]]</calculatedColumnFormula>
      <totalsRowFormula>TableDataEentryClients[[#Totals],[IT Premium]]/TableDataEentryClients[[#Totals],[Units]]</totalsRowFormula>
    </tableColumn>
    <tableColumn id="18" xr3:uid="{AD449178-8D64-427C-944E-0E81AE426CD4}" name="SPT" totalsRowFunction="sum" dataDxfId="23" totalsRowDxfId="22" dataCellStyle="Percent"/>
    <tableColumn id="19" xr3:uid="{BEB8059B-A4B1-4AB5-991C-2ACCDEB42BA8}" name="SPT %" totalsRowFunction="sum" dataDxfId="21" totalsRowDxfId="20" dataCellStyle="Percent">
      <calculatedColumnFormula>TableDataEentryClients[[#This Row],[%IT Premium2]]/TableDataEentryClients[[#This Row],[Units]]</calculatedColumnFormula>
    </tableColumn>
    <tableColumn id="13" xr3:uid="{BF8C7FE3-B2C6-40A6-9372-A5A0F03B061E}" name="SPT +" totalsRowFunction="sum" dataDxfId="19" totalsRowDxfId="18" dataCellStyle="Percent"/>
    <tableColumn id="12" xr3:uid="{DB5F12EB-6829-4155-BB06-4C16B3F8FC4F}" name="SPT + %" totalsRowFunction="sum" dataDxfId="17" totalsRowDxfId="16" dataCellStyle="Percent">
      <calculatedColumnFormula>TableDataEentryClients[[#This Row],[SPT]]/TableDataEentryClients[[#This Row],[Units]]</calculatedColumnFormula>
    </tableColumn>
    <tableColumn id="5" xr3:uid="{19B1E78F-896A-47FE-964A-C8C2A8BE09E0}" name="Leads" totalsRowFunction="custom" dataDxfId="15" totalsRowDxfId="14">
      <totalsRowFormula>SUM(TableDataEentryClients[Leads])</totalsRowFormula>
    </tableColumn>
    <tableColumn id="8" xr3:uid="{278338CB-6E43-4A91-B8E9-DD0ED6268623}" name="%leads" totalsRowFunction="custom" dataDxfId="13" totalsRowDxfId="12">
      <calculatedColumnFormula>TableDataEentryClients[[#This Row],[Leads]]/TableDataEentryClients[[#This Row],[Units]]</calculatedColumnFormula>
      <totalsRowFormula>SUM(Q3:Q26)/TableDataEentryClients[[#Totals],[Units]]</totalsRowFormula>
    </tableColumn>
    <tableColumn id="10" xr3:uid="{27F57A11-5085-415B-95C8-CCE6E7EC5E3E}" name="Sourcers" totalsRowFunction="custom" dataDxfId="11" totalsRowDxfId="10">
      <totalsRowFormula>SUM(S3:S26)</totalsRowFormula>
    </tableColumn>
    <tableColumn id="11" xr3:uid="{3FA63BD0-6A07-4DA2-875B-44DEC5D8E39B}" name="%Sourcers" totalsRowFunction="custom" dataDxfId="9" totalsRowDxfId="8">
      <calculatedColumnFormula>TableDataEentryClients[[#This Row],[Sourcers]]/TableDataEentryClients[[#This Row],[Units]]</calculatedColumnFormula>
      <totalsRowFormula>TableDataEentryClients[[#Totals],[Sourcers]]/TableDataEentryClients[[#Totals],[Units]]</totalsRowFormula>
    </tableColumn>
    <tableColumn id="6" xr3:uid="{B6BC9D3A-F0BC-42BA-83E2-512A49993B81}" name="%" dataDxfId="7" totalsRowDxfId="6">
      <calculatedColumnFormula>TableDataEentryClients[[#This Row],[Units]]/SUM(TableDataEentryClients[Units])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176CA-2F75-4536-9F40-F5D7251D125F}">
  <sheetPr codeName="Sheet1"/>
  <dimension ref="B2:S30"/>
  <sheetViews>
    <sheetView showGridLines="0" showRowColHeaders="0" topLeftCell="A4" zoomScale="85" zoomScaleNormal="85" workbookViewId="0">
      <selection activeCell="F29" sqref="F29"/>
    </sheetView>
  </sheetViews>
  <sheetFormatPr defaultRowHeight="15" x14ac:dyDescent="0.25"/>
  <cols>
    <col min="1" max="1" width="2" customWidth="1"/>
    <col min="2" max="2" width="30.85546875" bestFit="1" customWidth="1"/>
    <col min="3" max="3" width="11" customWidth="1"/>
    <col min="4" max="4" width="3.140625" customWidth="1"/>
    <col min="5" max="5" width="13.7109375" bestFit="1" customWidth="1"/>
    <col min="6" max="6" width="17.28515625" bestFit="1" customWidth="1"/>
    <col min="7" max="7" width="19.140625" bestFit="1" customWidth="1"/>
    <col min="8" max="8" width="17" bestFit="1" customWidth="1"/>
    <col min="9" max="9" width="26.5703125" customWidth="1"/>
    <col min="10" max="10" width="19.5703125" bestFit="1" customWidth="1"/>
    <col min="11" max="11" width="15.28515625" bestFit="1" customWidth="1"/>
    <col min="13" max="13" width="15.28515625" bestFit="1" customWidth="1"/>
    <col min="14" max="14" width="12.42578125" bestFit="1" customWidth="1"/>
    <col min="15" max="15" width="11.42578125" bestFit="1" customWidth="1"/>
    <col min="19" max="19" width="10.85546875" bestFit="1" customWidth="1"/>
  </cols>
  <sheetData>
    <row r="2" spans="2:19" x14ac:dyDescent="0.25">
      <c r="B2" t="s">
        <v>55</v>
      </c>
      <c r="C2" t="s">
        <v>36</v>
      </c>
      <c r="E2" s="26" t="s">
        <v>31</v>
      </c>
      <c r="F2" s="26" t="s">
        <v>26</v>
      </c>
      <c r="G2" s="26" t="s">
        <v>27</v>
      </c>
      <c r="H2" s="26" t="s">
        <v>30</v>
      </c>
      <c r="I2" s="26" t="s">
        <v>34</v>
      </c>
      <c r="J2" s="26" t="s">
        <v>35</v>
      </c>
    </row>
    <row r="3" spans="2:19" x14ac:dyDescent="0.25">
      <c r="B3" t="s">
        <v>56</v>
      </c>
      <c r="C3" s="26">
        <v>1</v>
      </c>
      <c r="E3" s="26" t="s">
        <v>43</v>
      </c>
      <c r="F3" s="26">
        <f>_xlfn.XLOOKUP($E$3,$E$23:$E$30,F23:F30,"Not Found",0,1)</f>
        <v>274</v>
      </c>
      <c r="G3" s="26">
        <f>_xlfn.XLOOKUP($E$3,$E$23:$E$30,G23:G30,"Not Found",0,1)</f>
        <v>128</v>
      </c>
      <c r="H3" s="26">
        <f>_xlfn.XLOOKUP($E$3,$E$23:$E$30,I23:I30,"Not Found",0,1)</f>
        <v>146</v>
      </c>
      <c r="I3" s="32">
        <f>_xlfn.XLOOKUP($E$3,$E$23:$E$30,H23:H30,"Not Found",0,1)</f>
        <v>0.46715328467153283</v>
      </c>
      <c r="J3" s="32">
        <f>_xlfn.XLOOKUP($E$3,$E$23:$E$30,J23:J30,"Not Found",0,1)</f>
        <v>0.53284671532846717</v>
      </c>
    </row>
    <row r="4" spans="2:19" x14ac:dyDescent="0.25">
      <c r="B4" t="s">
        <v>57</v>
      </c>
      <c r="C4" s="26">
        <v>38</v>
      </c>
    </row>
    <row r="5" spans="2:19" x14ac:dyDescent="0.25">
      <c r="B5" t="s">
        <v>69</v>
      </c>
      <c r="C5" s="26">
        <v>5</v>
      </c>
    </row>
    <row r="6" spans="2:19" x14ac:dyDescent="0.25">
      <c r="B6" t="s">
        <v>70</v>
      </c>
      <c r="C6" s="26">
        <v>3</v>
      </c>
    </row>
    <row r="7" spans="2:19" x14ac:dyDescent="0.25">
      <c r="B7" s="44" t="s">
        <v>67</v>
      </c>
      <c r="C7" s="45">
        <f>SUM(C3:C6)</f>
        <v>47</v>
      </c>
    </row>
    <row r="8" spans="2:19" x14ac:dyDescent="0.25">
      <c r="B8" t="s">
        <v>63</v>
      </c>
      <c r="C8" s="26">
        <v>4</v>
      </c>
    </row>
    <row r="9" spans="2:19" x14ac:dyDescent="0.25">
      <c r="B9" t="s">
        <v>64</v>
      </c>
      <c r="C9" s="26">
        <v>1</v>
      </c>
    </row>
    <row r="10" spans="2:19" x14ac:dyDescent="0.25">
      <c r="B10" t="s">
        <v>65</v>
      </c>
      <c r="C10" s="26">
        <v>1</v>
      </c>
      <c r="S10" t="s">
        <v>44</v>
      </c>
    </row>
    <row r="11" spans="2:19" x14ac:dyDescent="0.25">
      <c r="B11" s="44" t="s">
        <v>66</v>
      </c>
      <c r="C11" s="45">
        <f>SUM(C8:C10)</f>
        <v>6</v>
      </c>
    </row>
    <row r="12" spans="2:19" x14ac:dyDescent="0.25">
      <c r="B12" t="s">
        <v>51</v>
      </c>
      <c r="C12" s="26"/>
    </row>
    <row r="13" spans="2:19" x14ac:dyDescent="0.25">
      <c r="B13" t="s">
        <v>59</v>
      </c>
      <c r="C13" s="26"/>
    </row>
    <row r="14" spans="2:19" x14ac:dyDescent="0.25">
      <c r="B14" t="s">
        <v>50</v>
      </c>
      <c r="C14" s="26"/>
    </row>
    <row r="15" spans="2:19" x14ac:dyDescent="0.25">
      <c r="B15" s="44" t="s">
        <v>60</v>
      </c>
      <c r="C15" s="45">
        <f>SUM(C12:C14)</f>
        <v>0</v>
      </c>
    </row>
    <row r="16" spans="2:19" x14ac:dyDescent="0.25">
      <c r="B16" s="44" t="s">
        <v>58</v>
      </c>
      <c r="C16" s="45">
        <f>C7+C11+C15</f>
        <v>53</v>
      </c>
    </row>
    <row r="17" spans="2:12" x14ac:dyDescent="0.25">
      <c r="B17" t="s">
        <v>39</v>
      </c>
      <c r="C17" s="26">
        <v>7</v>
      </c>
    </row>
    <row r="18" spans="2:12" x14ac:dyDescent="0.25">
      <c r="B18" t="s">
        <v>38</v>
      </c>
      <c r="C18" s="26">
        <v>1</v>
      </c>
      <c r="L18" t="s">
        <v>42</v>
      </c>
    </row>
    <row r="19" spans="2:12" x14ac:dyDescent="0.25">
      <c r="B19" s="44" t="s">
        <v>61</v>
      </c>
      <c r="C19" s="45">
        <f>SUM(C17:C18)</f>
        <v>8</v>
      </c>
    </row>
    <row r="20" spans="2:12" x14ac:dyDescent="0.25">
      <c r="B20" t="s">
        <v>52</v>
      </c>
      <c r="C20" s="26"/>
    </row>
    <row r="21" spans="2:12" x14ac:dyDescent="0.25">
      <c r="B21" t="s">
        <v>62</v>
      </c>
      <c r="C21" s="26">
        <v>2</v>
      </c>
    </row>
    <row r="22" spans="2:12" ht="15.75" x14ac:dyDescent="0.25">
      <c r="B22" s="46" t="s">
        <v>68</v>
      </c>
      <c r="C22" s="46">
        <f>C16+C19+C20+C21</f>
        <v>63</v>
      </c>
      <c r="E22" t="s">
        <v>33</v>
      </c>
      <c r="F22" s="26" t="s">
        <v>26</v>
      </c>
      <c r="G22" s="26" t="s">
        <v>27</v>
      </c>
      <c r="H22" s="26" t="s">
        <v>13</v>
      </c>
      <c r="I22" s="26" t="s">
        <v>30</v>
      </c>
      <c r="J22" s="26" t="s">
        <v>37</v>
      </c>
    </row>
    <row r="23" spans="2:12" x14ac:dyDescent="0.25">
      <c r="B23" s="49" t="s">
        <v>76</v>
      </c>
      <c r="C23" s="50">
        <f>COUNTA(TableDataEentryClients[Client])</f>
        <v>16</v>
      </c>
      <c r="E23" t="s">
        <v>5</v>
      </c>
      <c r="F23" s="26">
        <f>C3+C4+C5</f>
        <v>44</v>
      </c>
      <c r="G23" s="33">
        <f>TableDataEentryClients[[#Totals],[Premium]]</f>
        <v>5</v>
      </c>
      <c r="H23" s="47">
        <f>G23/F23</f>
        <v>0.11363636363636363</v>
      </c>
      <c r="I23" s="26">
        <f t="shared" ref="I23:I26" si="0">F23-G23</f>
        <v>39</v>
      </c>
      <c r="J23" s="34">
        <f t="shared" ref="J23:J26" si="1">I23/F23</f>
        <v>0.88636363636363635</v>
      </c>
    </row>
    <row r="24" spans="2:12" x14ac:dyDescent="0.25">
      <c r="B24" s="49" t="s">
        <v>77</v>
      </c>
      <c r="C24" s="26"/>
      <c r="E24" t="s">
        <v>29</v>
      </c>
      <c r="F24" s="26">
        <f>C3+C4</f>
        <v>39</v>
      </c>
      <c r="G24" s="26">
        <f>TableDataEentryClients[[#Totals],[Premium+]]+TableDataEentryClients[[#Totals],[Sourcers]]</f>
        <v>24</v>
      </c>
      <c r="H24" s="47">
        <f>G24/F24</f>
        <v>0.61538461538461542</v>
      </c>
      <c r="I24" s="26">
        <f t="shared" si="0"/>
        <v>15</v>
      </c>
      <c r="J24" s="34">
        <f t="shared" si="1"/>
        <v>0.38461538461538464</v>
      </c>
    </row>
    <row r="25" spans="2:12" x14ac:dyDescent="0.25">
      <c r="E25" t="s">
        <v>0</v>
      </c>
      <c r="F25" s="26">
        <f>C8+C9</f>
        <v>5</v>
      </c>
      <c r="G25" s="33">
        <f>TableDataEentryClients[[#Totals],[IT Premium]]</f>
        <v>0</v>
      </c>
      <c r="H25" s="34">
        <f t="shared" ref="H25:H26" si="2">G25/F25</f>
        <v>0</v>
      </c>
      <c r="I25" s="26">
        <f t="shared" si="0"/>
        <v>5</v>
      </c>
      <c r="J25" s="34">
        <f t="shared" si="1"/>
        <v>1</v>
      </c>
    </row>
    <row r="26" spans="2:12" x14ac:dyDescent="0.25">
      <c r="E26" t="s">
        <v>32</v>
      </c>
      <c r="F26" s="26">
        <f>C8+C9</f>
        <v>5</v>
      </c>
      <c r="G26" s="26">
        <f>TableDataEentryClients[[#Totals],[IT P. +]]</f>
        <v>5</v>
      </c>
      <c r="H26" s="34">
        <f t="shared" si="2"/>
        <v>1</v>
      </c>
      <c r="I26" s="26">
        <f t="shared" si="0"/>
        <v>0</v>
      </c>
      <c r="J26" s="34">
        <f t="shared" si="1"/>
        <v>0</v>
      </c>
    </row>
    <row r="27" spans="2:12" x14ac:dyDescent="0.25">
      <c r="E27" t="s">
        <v>48</v>
      </c>
      <c r="F27" s="26">
        <f>C12+C13</f>
        <v>0</v>
      </c>
      <c r="G27" s="33">
        <f>TableDataEentryClients[[#Totals],[SPT]]</f>
        <v>1</v>
      </c>
      <c r="H27" s="34" t="e">
        <f t="shared" ref="H27:H28" si="3">G27/F27</f>
        <v>#DIV/0!</v>
      </c>
      <c r="I27" s="33">
        <f>F27-G27</f>
        <v>-1</v>
      </c>
      <c r="J27" s="34" t="e">
        <f>I27/F27</f>
        <v>#DIV/0!</v>
      </c>
    </row>
    <row r="28" spans="2:12" x14ac:dyDescent="0.25">
      <c r="E28" t="s">
        <v>49</v>
      </c>
      <c r="F28" s="26">
        <f>C12+C13</f>
        <v>0</v>
      </c>
      <c r="G28" s="26">
        <f>TableDataEentryClients[[#Totals],[SPT +]]</f>
        <v>0</v>
      </c>
      <c r="H28" s="34" t="e">
        <f t="shared" si="3"/>
        <v>#DIV/0!</v>
      </c>
      <c r="I28" s="33">
        <f>F28-G28</f>
        <v>0</v>
      </c>
      <c r="J28" s="34" t="e">
        <f>I28/F28</f>
        <v>#DIV/0!</v>
      </c>
    </row>
    <row r="29" spans="2:12" x14ac:dyDescent="0.25">
      <c r="E29" t="s">
        <v>43</v>
      </c>
      <c r="F29" s="26">
        <f>((C3+C4+C5+C8+C9+C12+C13)*2)+((C3+C4+C8+C9+C12+C13)*4)</f>
        <v>274</v>
      </c>
      <c r="G29" s="26">
        <f>((G23+G25+G27)*2)+((G24+G26+G28)*4)</f>
        <v>128</v>
      </c>
      <c r="H29" s="47">
        <f>G29/F29</f>
        <v>0.46715328467153283</v>
      </c>
      <c r="I29" s="26">
        <f>F29-G29</f>
        <v>146</v>
      </c>
      <c r="J29" s="34">
        <f>I29/F29</f>
        <v>0.53284671532846717</v>
      </c>
    </row>
    <row r="30" spans="2:12" x14ac:dyDescent="0.25">
      <c r="E30" t="s">
        <v>40</v>
      </c>
      <c r="F30" s="42">
        <f>C17*2000/4</f>
        <v>3500</v>
      </c>
      <c r="G30" s="42">
        <v>333.9</v>
      </c>
      <c r="H30" s="47">
        <f>G30/F30</f>
        <v>9.5399999999999999E-2</v>
      </c>
      <c r="I30" s="42">
        <f>F30-G30</f>
        <v>3166.1</v>
      </c>
      <c r="J30" s="34">
        <f>I30/F30</f>
        <v>0.90459999999999996</v>
      </c>
    </row>
  </sheetData>
  <dataValidations count="1">
    <dataValidation type="list" allowBlank="1" showInputMessage="1" showErrorMessage="1" sqref="E3" xr:uid="{0880C32D-6B0E-4D75-85EA-6ABC68185C1B}">
      <formula1>$E$23:$E$30</formula1>
    </dataValidation>
  </dataValidation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B297E-6222-4150-9DA4-E08F2BE3C9B9}">
  <dimension ref="B2:C24"/>
  <sheetViews>
    <sheetView workbookViewId="0">
      <selection activeCell="E25" sqref="E25"/>
    </sheetView>
  </sheetViews>
  <sheetFormatPr defaultRowHeight="15" x14ac:dyDescent="0.25"/>
  <cols>
    <col min="2" max="2" width="31" bestFit="1" customWidth="1"/>
    <col min="3" max="3" width="11.140625" bestFit="1" customWidth="1"/>
    <col min="5" max="5" width="10.5703125" bestFit="1" customWidth="1"/>
    <col min="6" max="6" width="11.140625" bestFit="1" customWidth="1"/>
    <col min="7" max="7" width="12.5703125" bestFit="1" customWidth="1"/>
    <col min="10" max="10" width="12" bestFit="1" customWidth="1"/>
  </cols>
  <sheetData>
    <row r="2" spans="2:3" x14ac:dyDescent="0.25">
      <c r="B2" t="s">
        <v>55</v>
      </c>
      <c r="C2" t="s">
        <v>36</v>
      </c>
    </row>
    <row r="3" spans="2:3" x14ac:dyDescent="0.25">
      <c r="B3" t="s">
        <v>56</v>
      </c>
      <c r="C3" s="26">
        <v>1</v>
      </c>
    </row>
    <row r="4" spans="2:3" x14ac:dyDescent="0.25">
      <c r="B4" t="s">
        <v>57</v>
      </c>
      <c r="C4" s="26">
        <v>38</v>
      </c>
    </row>
    <row r="5" spans="2:3" x14ac:dyDescent="0.25">
      <c r="B5" t="s">
        <v>69</v>
      </c>
      <c r="C5" s="26">
        <v>5</v>
      </c>
    </row>
    <row r="6" spans="2:3" x14ac:dyDescent="0.25">
      <c r="B6" t="s">
        <v>70</v>
      </c>
      <c r="C6" s="26">
        <v>3</v>
      </c>
    </row>
    <row r="7" spans="2:3" x14ac:dyDescent="0.25">
      <c r="B7" s="44" t="s">
        <v>67</v>
      </c>
      <c r="C7" s="45">
        <f>SUM(C3:C6)</f>
        <v>47</v>
      </c>
    </row>
    <row r="8" spans="2:3" x14ac:dyDescent="0.25">
      <c r="B8" t="s">
        <v>63</v>
      </c>
      <c r="C8" s="26">
        <v>4</v>
      </c>
    </row>
    <row r="9" spans="2:3" x14ac:dyDescent="0.25">
      <c r="B9" t="s">
        <v>64</v>
      </c>
      <c r="C9" s="26">
        <v>1</v>
      </c>
    </row>
    <row r="10" spans="2:3" x14ac:dyDescent="0.25">
      <c r="B10" t="s">
        <v>65</v>
      </c>
      <c r="C10" s="26">
        <v>1</v>
      </c>
    </row>
    <row r="11" spans="2:3" x14ac:dyDescent="0.25">
      <c r="B11" s="44" t="s">
        <v>66</v>
      </c>
      <c r="C11" s="45">
        <f>SUM(C8:C10)</f>
        <v>6</v>
      </c>
    </row>
    <row r="12" spans="2:3" x14ac:dyDescent="0.25">
      <c r="B12" t="s">
        <v>51</v>
      </c>
      <c r="C12" s="26"/>
    </row>
    <row r="13" spans="2:3" x14ac:dyDescent="0.25">
      <c r="B13" t="s">
        <v>59</v>
      </c>
      <c r="C13" s="26"/>
    </row>
    <row r="14" spans="2:3" x14ac:dyDescent="0.25">
      <c r="B14" t="s">
        <v>50</v>
      </c>
      <c r="C14" s="26"/>
    </row>
    <row r="15" spans="2:3" x14ac:dyDescent="0.25">
      <c r="B15" s="44" t="s">
        <v>60</v>
      </c>
      <c r="C15" s="45">
        <f>SUM(C12:C14)</f>
        <v>0</v>
      </c>
    </row>
    <row r="16" spans="2:3" x14ac:dyDescent="0.25">
      <c r="B16" s="44" t="s">
        <v>58</v>
      </c>
      <c r="C16" s="45">
        <f>C7+C11+C15</f>
        <v>53</v>
      </c>
    </row>
    <row r="17" spans="2:3" x14ac:dyDescent="0.25">
      <c r="B17" t="s">
        <v>39</v>
      </c>
      <c r="C17" s="26">
        <v>7</v>
      </c>
    </row>
    <row r="18" spans="2:3" x14ac:dyDescent="0.25">
      <c r="B18" t="s">
        <v>38</v>
      </c>
      <c r="C18" s="26">
        <v>1</v>
      </c>
    </row>
    <row r="19" spans="2:3" x14ac:dyDescent="0.25">
      <c r="B19" s="44" t="s">
        <v>61</v>
      </c>
      <c r="C19" s="45">
        <f>SUM(C17:C18)</f>
        <v>8</v>
      </c>
    </row>
    <row r="20" spans="2:3" x14ac:dyDescent="0.25">
      <c r="B20" t="s">
        <v>52</v>
      </c>
      <c r="C20" s="26"/>
    </row>
    <row r="21" spans="2:3" x14ac:dyDescent="0.25">
      <c r="B21" t="s">
        <v>62</v>
      </c>
      <c r="C21" s="26">
        <v>2</v>
      </c>
    </row>
    <row r="22" spans="2:3" ht="15.75" x14ac:dyDescent="0.25">
      <c r="B22" s="46" t="s">
        <v>68</v>
      </c>
      <c r="C22" s="46">
        <f>C16+C19+C20+C21</f>
        <v>63</v>
      </c>
    </row>
    <row r="23" spans="2:3" x14ac:dyDescent="0.25">
      <c r="B23" s="49" t="s">
        <v>76</v>
      </c>
      <c r="C23" s="50">
        <f>COUNTA(TableDataEentryClients[Client])</f>
        <v>16</v>
      </c>
    </row>
    <row r="24" spans="2:3" x14ac:dyDescent="0.25">
      <c r="B24" s="49" t="s">
        <v>77</v>
      </c>
      <c r="C24" s="2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FA16B-F85D-4B17-9196-E8FE0460C8B8}">
  <dimension ref="B2:G10"/>
  <sheetViews>
    <sheetView workbookViewId="0">
      <selection activeCell="C11" sqref="C11"/>
    </sheetView>
  </sheetViews>
  <sheetFormatPr defaultRowHeight="15" x14ac:dyDescent="0.25"/>
  <cols>
    <col min="2" max="2" width="12.5703125" bestFit="1" customWidth="1"/>
    <col min="3" max="3" width="17.28515625" bestFit="1" customWidth="1"/>
    <col min="4" max="4" width="19.140625" bestFit="1" customWidth="1"/>
    <col min="5" max="5" width="7.7109375" bestFit="1" customWidth="1"/>
    <col min="6" max="6" width="17" bestFit="1" customWidth="1"/>
  </cols>
  <sheetData>
    <row r="2" spans="2:7" x14ac:dyDescent="0.25">
      <c r="B2" t="s">
        <v>33</v>
      </c>
      <c r="C2" s="26" t="s">
        <v>26</v>
      </c>
      <c r="D2" s="26" t="s">
        <v>27</v>
      </c>
      <c r="E2" s="26" t="s">
        <v>13</v>
      </c>
      <c r="F2" s="26" t="s">
        <v>30</v>
      </c>
      <c r="G2" s="26" t="s">
        <v>37</v>
      </c>
    </row>
    <row r="3" spans="2:7" x14ac:dyDescent="0.25">
      <c r="B3" t="s">
        <v>5</v>
      </c>
      <c r="C3" s="26">
        <f>Table26[[#This Row],[Personel]]+'Head Count'!C4+'Head Count'!C5</f>
        <v>44</v>
      </c>
      <c r="D3" s="33">
        <f>TableDataEentryClients[[#Totals],[Premium]]</f>
        <v>5</v>
      </c>
      <c r="E3" s="47">
        <f>D3/C3</f>
        <v>0.11363636363636363</v>
      </c>
      <c r="F3" s="26">
        <f t="shared" ref="F3:F6" si="0">C3-D3</f>
        <v>39</v>
      </c>
      <c r="G3" s="34">
        <f t="shared" ref="G3:G6" si="1">F3/C3</f>
        <v>0.88636363636363635</v>
      </c>
    </row>
    <row r="4" spans="2:7" x14ac:dyDescent="0.25">
      <c r="B4" t="s">
        <v>29</v>
      </c>
      <c r="C4" s="26">
        <f>'Head Count'!C3+Table26[[#This Row],[Personel]]</f>
        <v>39</v>
      </c>
      <c r="D4" s="26">
        <f>TableDataEentryClients[[#Totals],[Premium+]]+TableDataEentryClients[[#Totals],[Sourcers]]</f>
        <v>24</v>
      </c>
      <c r="E4" s="47">
        <f>D4/C4</f>
        <v>0.61538461538461542</v>
      </c>
      <c r="F4" s="26">
        <f t="shared" si="0"/>
        <v>15</v>
      </c>
      <c r="G4" s="34">
        <f t="shared" si="1"/>
        <v>0.38461538461538464</v>
      </c>
    </row>
    <row r="5" spans="2:7" x14ac:dyDescent="0.25">
      <c r="B5" t="s">
        <v>0</v>
      </c>
      <c r="C5" s="26">
        <f>'Head Count'!C8+'Head Count'!C9</f>
        <v>5</v>
      </c>
      <c r="D5" s="33">
        <f>TableDataEentryClients[[#Totals],[IT Premium]]</f>
        <v>0</v>
      </c>
      <c r="E5" s="34">
        <f t="shared" ref="E5:E8" si="2">D5/C5</f>
        <v>0</v>
      </c>
      <c r="F5" s="26">
        <f t="shared" si="0"/>
        <v>5</v>
      </c>
      <c r="G5" s="34">
        <f t="shared" si="1"/>
        <v>1</v>
      </c>
    </row>
    <row r="6" spans="2:7" x14ac:dyDescent="0.25">
      <c r="B6" t="s">
        <v>32</v>
      </c>
      <c r="C6" s="26">
        <f>'Head Count'!C8+'Head Count'!C9</f>
        <v>5</v>
      </c>
      <c r="D6" s="26">
        <f>TableDataEentryClients[[#Totals],[IT P. +]]</f>
        <v>5</v>
      </c>
      <c r="E6" s="34">
        <f t="shared" si="2"/>
        <v>1</v>
      </c>
      <c r="F6" s="26">
        <f t="shared" si="0"/>
        <v>0</v>
      </c>
      <c r="G6" s="34">
        <f t="shared" si="1"/>
        <v>0</v>
      </c>
    </row>
    <row r="7" spans="2:7" x14ac:dyDescent="0.25">
      <c r="B7" t="s">
        <v>48</v>
      </c>
      <c r="C7" s="26">
        <f>'Head Count'!C12+'Head Count'!C13</f>
        <v>0</v>
      </c>
      <c r="D7" s="33">
        <f>TableDataEentryClients[[#Totals],[SPT]]</f>
        <v>1</v>
      </c>
      <c r="E7" s="34" t="e">
        <f t="shared" si="2"/>
        <v>#DIV/0!</v>
      </c>
      <c r="F7" s="33">
        <f>C7-D7</f>
        <v>-1</v>
      </c>
      <c r="G7" s="34" t="e">
        <f>F7/C7</f>
        <v>#DIV/0!</v>
      </c>
    </row>
    <row r="8" spans="2:7" x14ac:dyDescent="0.25">
      <c r="B8" t="s">
        <v>49</v>
      </c>
      <c r="C8" s="26">
        <f>'Head Count'!C12+'Head Count'!C13</f>
        <v>0</v>
      </c>
      <c r="D8" s="26">
        <f>TableDataEentryClients[[#Totals],[SPT +]]</f>
        <v>0</v>
      </c>
      <c r="E8" s="34" t="e">
        <f t="shared" si="2"/>
        <v>#DIV/0!</v>
      </c>
      <c r="F8" s="33">
        <f>C8-D8</f>
        <v>0</v>
      </c>
      <c r="G8" s="34" t="e">
        <f>F8/C8</f>
        <v>#DIV/0!</v>
      </c>
    </row>
    <row r="9" spans="2:7" x14ac:dyDescent="0.25">
      <c r="B9" t="s">
        <v>43</v>
      </c>
      <c r="C9" s="26">
        <f>(('Head Count'!C3+'Head Count'!C4+'Head Count'!C5+'Head Count'!C8+Table26[[#This Row],[Personel]]+'Head Count'!C12+'Head Count'!C13)*2)+('Head Count'!C3+'Head Count'!C4+'Head Count'!C8+Table26[[#This Row],[Personel]]+'Head Count'!C12+'Head Count'!C13)*4</f>
        <v>274</v>
      </c>
      <c r="D9" s="26">
        <f>((D3+D5+D7)*2)+((D4+D6+D8)*4)</f>
        <v>128</v>
      </c>
      <c r="E9" s="47">
        <f>D9/C9</f>
        <v>0.46715328467153283</v>
      </c>
      <c r="F9" s="26">
        <f>C9-D9</f>
        <v>146</v>
      </c>
      <c r="G9" s="34">
        <f>F9/C9</f>
        <v>0.53284671532846717</v>
      </c>
    </row>
    <row r="10" spans="2:7" x14ac:dyDescent="0.25">
      <c r="B10" t="s">
        <v>40</v>
      </c>
      <c r="C10" s="42">
        <f>('Head Count'!C17*2000)/4</f>
        <v>3500</v>
      </c>
      <c r="D10" s="42">
        <v>333.9</v>
      </c>
      <c r="E10" s="47">
        <f>D10/C10</f>
        <v>9.5399999999999999E-2</v>
      </c>
      <c r="F10" s="42">
        <f>C10-D10</f>
        <v>3166.1</v>
      </c>
      <c r="G10" s="34">
        <f>F10/C10</f>
        <v>0.90459999999999996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2:AA49"/>
  <sheetViews>
    <sheetView zoomScaleNormal="100" workbookViewId="0">
      <selection activeCell="B20" sqref="B20"/>
    </sheetView>
  </sheetViews>
  <sheetFormatPr defaultRowHeight="15" x14ac:dyDescent="0.25"/>
  <cols>
    <col min="3" max="3" width="19.85546875" customWidth="1"/>
    <col min="4" max="4" width="10.140625" customWidth="1"/>
    <col min="5" max="5" width="12" customWidth="1"/>
    <col min="6" max="6" width="14.5703125" customWidth="1"/>
    <col min="7" max="7" width="12.28515625" customWidth="1"/>
    <col min="8" max="8" width="14" bestFit="1" customWidth="1"/>
    <col min="9" max="9" width="11.7109375" customWidth="1"/>
    <col min="10" max="10" width="10.28515625" customWidth="1"/>
    <col min="11" max="11" width="13.42578125" bestFit="1" customWidth="1"/>
    <col min="12" max="16" width="10.28515625" customWidth="1"/>
    <col min="17" max="20" width="8.5703125" customWidth="1"/>
    <col min="21" max="21" width="11" customWidth="1"/>
    <col min="22" max="22" width="14.5703125" bestFit="1" customWidth="1"/>
    <col min="23" max="23" width="9.140625" bestFit="1" customWidth="1"/>
    <col min="24" max="24" width="10.5703125" bestFit="1" customWidth="1"/>
    <col min="25" max="25" width="11" bestFit="1" customWidth="1"/>
  </cols>
  <sheetData>
    <row r="2" spans="3:24" ht="15" customHeight="1" x14ac:dyDescent="0.25"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28</v>
      </c>
      <c r="J2" s="7" t="s">
        <v>7</v>
      </c>
      <c r="K2" s="7" t="s">
        <v>0</v>
      </c>
      <c r="L2" s="7" t="s">
        <v>8</v>
      </c>
      <c r="M2" s="7" t="s">
        <v>48</v>
      </c>
      <c r="N2" s="7" t="s">
        <v>53</v>
      </c>
      <c r="O2" s="7" t="s">
        <v>49</v>
      </c>
      <c r="P2" s="7" t="s">
        <v>54</v>
      </c>
      <c r="Q2" s="7" t="s">
        <v>9</v>
      </c>
      <c r="R2" s="7" t="s">
        <v>10</v>
      </c>
      <c r="S2" s="7" t="s">
        <v>11</v>
      </c>
      <c r="T2" s="7" t="s">
        <v>12</v>
      </c>
      <c r="U2" s="2" t="s">
        <v>13</v>
      </c>
      <c r="W2" s="25"/>
      <c r="X2" s="27"/>
    </row>
    <row r="3" spans="3:24" x14ac:dyDescent="0.25">
      <c r="C3" s="6" t="s">
        <v>14</v>
      </c>
      <c r="D3" s="3">
        <f>SUM(TableDataEentryClients[[#This Row],[Premium+]]+TableDataEentryClients[[#This Row],[IT P. +]]+TableDataEentryClients[[#This Row],[Leads]])+TableDataEentryClients[[#This Row],[Premium]]+TableDataEentryClients[[#This Row],[IT Premium]]+TableDataEentryClients[[#This Row],[Sourcers]]+TableDataEentryClients[[#This Row],[SPT]]+TableDataEentryClients[[#This Row],[SPT +]]</f>
        <v>2</v>
      </c>
      <c r="E3" s="1">
        <v>1</v>
      </c>
      <c r="F3" s="12">
        <f>TableDataEentryClients[[#This Row],[Premium+]]/TableDataEentryClients[[#This Row],[Units]]</f>
        <v>0.5</v>
      </c>
      <c r="G3" s="20">
        <v>1</v>
      </c>
      <c r="H3" s="12">
        <f>TableDataEentryClients[[#This Row],[Premium]]/TableDataEentryClients[[#This Row],[Units]]</f>
        <v>0.5</v>
      </c>
      <c r="I3" s="1">
        <v>0</v>
      </c>
      <c r="J3" s="14">
        <f>TableDataEentryClients[[#This Row],[IT P. +]]/TableDataEentryClients[[#This Row],[Units]]</f>
        <v>0</v>
      </c>
      <c r="K3" s="21">
        <v>0</v>
      </c>
      <c r="L3" s="13">
        <f>TableDataEentryClients[[#This Row],[IT Premium]]/TableDataEentryClients[[#This Row],[Units]]</f>
        <v>0</v>
      </c>
      <c r="M3" s="13">
        <v>0</v>
      </c>
      <c r="N3" s="13">
        <f>TableDataEentryClients[[#This Row],[%IT Premium2]]/TableDataEentryClients[[#This Row],[Units]]</f>
        <v>0</v>
      </c>
      <c r="O3" s="13">
        <v>0</v>
      </c>
      <c r="P3" s="13">
        <f>TableDataEentryClients[[#This Row],[SPT]]/TableDataEentryClients[[#This Row],[Units]]</f>
        <v>0</v>
      </c>
      <c r="Q3" s="5">
        <v>0</v>
      </c>
      <c r="R3" s="16">
        <f>TableDataEentryClients[[#This Row],[Leads]]/TableDataEentryClients[[#This Row],[Units]]</f>
        <v>0</v>
      </c>
      <c r="S3" s="17">
        <v>0</v>
      </c>
      <c r="T3" s="18">
        <f>TableDataEentryClients[[#This Row],[Sourcers]]/TableDataEentryClients[[#This Row],[Units]]</f>
        <v>0</v>
      </c>
      <c r="U3" s="11">
        <f>TableDataEentryClients[[#This Row],[Units]]/SUM(TableDataEentryClients[Units])</f>
        <v>5.7142857142857141E-2</v>
      </c>
      <c r="W3" s="25"/>
      <c r="X3" s="28"/>
    </row>
    <row r="4" spans="3:24" ht="15" customHeight="1" x14ac:dyDescent="0.25">
      <c r="C4" s="4" t="s">
        <v>15</v>
      </c>
      <c r="D4" s="3">
        <f>SUM(TableDataEentryClients[[#This Row],[Premium+]]+TableDataEentryClients[[#This Row],[IT P. +]]+TableDataEentryClients[[#This Row],[Leads]])+TableDataEentryClients[[#This Row],[Premium]]+TableDataEentryClients[[#This Row],[IT Premium]]+TableDataEentryClients[[#This Row],[Sourcers]]+TableDataEentryClients[[#This Row],[SPT]]+TableDataEentryClients[[#This Row],[SPT +]]</f>
        <v>10</v>
      </c>
      <c r="E4" s="1">
        <v>10</v>
      </c>
      <c r="F4" s="12">
        <f>TableDataEentryClients[[#This Row],[Premium+]]/TableDataEentryClients[[#This Row],[Units]]</f>
        <v>1</v>
      </c>
      <c r="G4" s="20">
        <v>0</v>
      </c>
      <c r="H4" s="12">
        <f>TableDataEentryClients[[#This Row],[Premium]]/TableDataEentryClients[[#This Row],[Units]]</f>
        <v>0</v>
      </c>
      <c r="I4" s="1">
        <v>0</v>
      </c>
      <c r="J4" s="14">
        <f>TableDataEentryClients[[#This Row],[IT P. +]]/TableDataEentryClients[[#This Row],[Units]]</f>
        <v>0</v>
      </c>
      <c r="K4" s="21">
        <v>0</v>
      </c>
      <c r="L4" s="13">
        <f>TableDataEentryClients[[#This Row],[IT Premium]]/TableDataEentryClients[[#This Row],[Units]]</f>
        <v>0</v>
      </c>
      <c r="M4" s="13">
        <v>0</v>
      </c>
      <c r="N4" s="13">
        <f>TableDataEentryClients[[#This Row],[%IT Premium2]]/TableDataEentryClients[[#This Row],[Units]]</f>
        <v>0</v>
      </c>
      <c r="O4" s="13">
        <v>0</v>
      </c>
      <c r="P4" s="13">
        <f>TableDataEentryClients[[#This Row],[SPT]]/TableDataEentryClients[[#This Row],[Units]]</f>
        <v>0</v>
      </c>
      <c r="Q4" s="1">
        <v>0</v>
      </c>
      <c r="R4" s="16">
        <f>TableDataEentryClients[[#This Row],[Leads]]/TableDataEentryClients[[#This Row],[Units]]</f>
        <v>0</v>
      </c>
      <c r="S4" s="7">
        <v>0</v>
      </c>
      <c r="T4" s="18">
        <f>TableDataEentryClients[[#This Row],[Sourcers]]/TableDataEentryClients[[#This Row],[Units]]</f>
        <v>0</v>
      </c>
      <c r="U4" s="12">
        <f>TableDataEentryClients[[#This Row],[Units]]/SUM(TableDataEentryClients[Units])</f>
        <v>0.2857142857142857</v>
      </c>
      <c r="W4" s="29"/>
      <c r="X4" s="27"/>
    </row>
    <row r="5" spans="3:24" x14ac:dyDescent="0.25">
      <c r="C5" s="4" t="s">
        <v>16</v>
      </c>
      <c r="D5" s="3">
        <f>SUM(TableDataEentryClients[[#This Row],[Premium+]]+TableDataEentryClients[[#This Row],[IT P. +]]+TableDataEentryClients[[#This Row],[Leads]])+TableDataEentryClients[[#This Row],[Premium]]+TableDataEentryClients[[#This Row],[IT Premium]]+TableDataEentryClients[[#This Row],[Sourcers]]+TableDataEentryClients[[#This Row],[SPT]]+TableDataEentryClients[[#This Row],[SPT +]]</f>
        <v>3</v>
      </c>
      <c r="E5" s="1">
        <v>3</v>
      </c>
      <c r="F5" s="12">
        <f>TableDataEentryClients[[#This Row],[Premium+]]/TableDataEentryClients[[#This Row],[Units]]</f>
        <v>1</v>
      </c>
      <c r="G5" s="20">
        <v>0</v>
      </c>
      <c r="H5" s="12">
        <f>TableDataEentryClients[[#This Row],[Premium]]/TableDataEentryClients[[#This Row],[Units]]</f>
        <v>0</v>
      </c>
      <c r="I5" s="1">
        <v>0</v>
      </c>
      <c r="J5" s="14">
        <f>TableDataEentryClients[[#This Row],[IT P. +]]/TableDataEentryClients[[#This Row],[Units]]</f>
        <v>0</v>
      </c>
      <c r="K5" s="21">
        <v>0</v>
      </c>
      <c r="L5" s="13">
        <f>TableDataEentryClients[[#This Row],[IT Premium]]/TableDataEentryClients[[#This Row],[Units]]</f>
        <v>0</v>
      </c>
      <c r="M5" s="13">
        <v>0</v>
      </c>
      <c r="N5" s="13">
        <f>TableDataEentryClients[[#This Row],[%IT Premium2]]/TableDataEentryClients[[#This Row],[Units]]</f>
        <v>0</v>
      </c>
      <c r="O5" s="13">
        <v>0</v>
      </c>
      <c r="P5" s="13">
        <f>TableDataEentryClients[[#This Row],[SPT]]/TableDataEentryClients[[#This Row],[Units]]</f>
        <v>0</v>
      </c>
      <c r="Q5" s="5">
        <v>0</v>
      </c>
      <c r="R5" s="16">
        <f>TableDataEentryClients[[#This Row],[Leads]]/TableDataEentryClients[[#This Row],[Units]]</f>
        <v>0</v>
      </c>
      <c r="S5" s="17">
        <v>0</v>
      </c>
      <c r="T5" s="18">
        <f>TableDataEentryClients[[#This Row],[Sourcers]]/TableDataEentryClients[[#This Row],[Units]]</f>
        <v>0</v>
      </c>
      <c r="U5" s="12">
        <f>TableDataEentryClients[[#This Row],[Units]]/SUM(TableDataEentryClients[Units])</f>
        <v>8.5714285714285715E-2</v>
      </c>
      <c r="W5" s="29"/>
      <c r="X5" s="28"/>
    </row>
    <row r="6" spans="3:24" ht="15" customHeight="1" x14ac:dyDescent="0.25">
      <c r="C6" s="4" t="s">
        <v>17</v>
      </c>
      <c r="D6" s="3">
        <f>SUM(TableDataEentryClients[[#This Row],[Premium+]]+TableDataEentryClients[[#This Row],[IT P. +]]+TableDataEentryClients[[#This Row],[Leads]])+TableDataEentryClients[[#This Row],[Premium]]+TableDataEentryClients[[#This Row],[IT Premium]]+TableDataEentryClients[[#This Row],[Sourcers]]+TableDataEentryClients[[#This Row],[SPT]]+TableDataEentryClients[[#This Row],[SPT +]]</f>
        <v>3</v>
      </c>
      <c r="E6" s="9">
        <v>3</v>
      </c>
      <c r="F6" s="12">
        <f>TableDataEentryClients[[#This Row],[Premium+]]/TableDataEentryClients[[#This Row],[Units]]</f>
        <v>1</v>
      </c>
      <c r="G6" s="20">
        <v>0</v>
      </c>
      <c r="H6" s="12">
        <f>TableDataEentryClients[[#This Row],[Premium]]/TableDataEentryClients[[#This Row],[Units]]</f>
        <v>0</v>
      </c>
      <c r="I6" s="1">
        <v>0</v>
      </c>
      <c r="J6" s="14">
        <f>TableDataEentryClients[[#This Row],[IT P. +]]/TableDataEentryClients[[#This Row],[Units]]</f>
        <v>0</v>
      </c>
      <c r="K6" s="21">
        <v>0</v>
      </c>
      <c r="L6" s="13">
        <f>TableDataEentryClients[[#This Row],[IT Premium]]/TableDataEentryClients[[#This Row],[Units]]</f>
        <v>0</v>
      </c>
      <c r="M6" s="13">
        <v>0</v>
      </c>
      <c r="N6" s="13">
        <f>TableDataEentryClients[[#This Row],[%IT Premium2]]/TableDataEentryClients[[#This Row],[Units]]</f>
        <v>0</v>
      </c>
      <c r="O6" s="13">
        <v>0</v>
      </c>
      <c r="P6" s="13">
        <f>TableDataEentryClients[[#This Row],[SPT]]/TableDataEentryClients[[#This Row],[Units]]</f>
        <v>0</v>
      </c>
      <c r="Q6" s="5">
        <v>0</v>
      </c>
      <c r="R6" s="16">
        <f>TableDataEentryClients[[#This Row],[Leads]]/TableDataEentryClients[[#This Row],[Units]]</f>
        <v>0</v>
      </c>
      <c r="S6" s="17">
        <v>0</v>
      </c>
      <c r="T6" s="18">
        <f>TableDataEentryClients[[#This Row],[Sourcers]]/TableDataEentryClients[[#This Row],[Units]]</f>
        <v>0</v>
      </c>
      <c r="U6" s="12">
        <f>TableDataEentryClients[[#This Row],[Units]]/SUM(TableDataEentryClients[Units])</f>
        <v>8.5714285714285715E-2</v>
      </c>
      <c r="W6" s="29"/>
      <c r="X6" s="27"/>
    </row>
    <row r="7" spans="3:24" x14ac:dyDescent="0.25">
      <c r="C7" s="4" t="s">
        <v>18</v>
      </c>
      <c r="D7" s="3">
        <f>SUM(TableDataEentryClients[[#This Row],[Premium+]]+TableDataEentryClients[[#This Row],[IT P. +]]+TableDataEentryClients[[#This Row],[Leads]])+TableDataEentryClients[[#This Row],[Premium]]+TableDataEentryClients[[#This Row],[IT Premium]]+TableDataEentryClients[[#This Row],[Sourcers]]+TableDataEentryClients[[#This Row],[SPT]]+TableDataEentryClients[[#This Row],[SPT +]]</f>
        <v>1</v>
      </c>
      <c r="E7" s="9">
        <v>0</v>
      </c>
      <c r="F7" s="12">
        <f>TableDataEentryClients[[#This Row],[Premium+]]/TableDataEentryClients[[#This Row],[Units]]</f>
        <v>0</v>
      </c>
      <c r="G7" s="20">
        <v>0</v>
      </c>
      <c r="H7" s="12">
        <f>TableDataEentryClients[[#This Row],[Premium]]/TableDataEentryClients[[#This Row],[Units]]</f>
        <v>0</v>
      </c>
      <c r="I7" s="1">
        <v>1</v>
      </c>
      <c r="J7" s="14">
        <f>TableDataEentryClients[[#This Row],[IT P. +]]/TableDataEentryClients[[#This Row],[Units]]</f>
        <v>1</v>
      </c>
      <c r="K7" s="21">
        <v>0</v>
      </c>
      <c r="L7" s="13">
        <f>TableDataEentryClients[[#This Row],[IT Premium]]/TableDataEentryClients[[#This Row],[Units]]</f>
        <v>0</v>
      </c>
      <c r="M7" s="13">
        <v>0</v>
      </c>
      <c r="N7" s="13">
        <f>TableDataEentryClients[[#This Row],[%IT Premium2]]/TableDataEentryClients[[#This Row],[Units]]</f>
        <v>0</v>
      </c>
      <c r="O7" s="13">
        <v>0</v>
      </c>
      <c r="P7" s="13">
        <f>TableDataEentryClients[[#This Row],[SPT]]/TableDataEentryClients[[#This Row],[Units]]</f>
        <v>0</v>
      </c>
      <c r="Q7" s="5">
        <v>0</v>
      </c>
      <c r="R7" s="16">
        <f>TableDataEentryClients[[#This Row],[Leads]]/TableDataEentryClients[[#This Row],[Units]]</f>
        <v>0</v>
      </c>
      <c r="S7" s="17">
        <v>0</v>
      </c>
      <c r="T7" s="18">
        <f>TableDataEentryClients[[#This Row],[Sourcers]]/TableDataEentryClients[[#This Row],[Units]]</f>
        <v>0</v>
      </c>
      <c r="U7" s="12">
        <f>TableDataEentryClients[[#This Row],[Units]]/SUM(TableDataEentryClients[Units])</f>
        <v>2.8571428571428571E-2</v>
      </c>
      <c r="W7" s="29"/>
      <c r="X7" s="28"/>
    </row>
    <row r="8" spans="3:24" x14ac:dyDescent="0.25">
      <c r="C8" s="4" t="s">
        <v>19</v>
      </c>
      <c r="D8" s="3">
        <f>SUM(TableDataEentryClients[[#This Row],[Premium+]]+TableDataEentryClients[[#This Row],[IT P. +]]+TableDataEentryClients[[#This Row],[Leads]])+TableDataEentryClients[[#This Row],[Premium]]+TableDataEentryClients[[#This Row],[IT Premium]]+TableDataEentryClients[[#This Row],[Sourcers]]+TableDataEentryClients[[#This Row],[SPT]]+TableDataEentryClients[[#This Row],[SPT +]]</f>
        <v>2</v>
      </c>
      <c r="E8" s="1">
        <v>2</v>
      </c>
      <c r="F8" s="12">
        <f>TableDataEentryClients[[#This Row],[Premium+]]/TableDataEentryClients[[#This Row],[Units]]</f>
        <v>1</v>
      </c>
      <c r="G8" s="20">
        <v>0</v>
      </c>
      <c r="H8" s="12">
        <f>TableDataEentryClients[[#This Row],[Premium]]/TableDataEentryClients[[#This Row],[Units]]</f>
        <v>0</v>
      </c>
      <c r="I8" s="1">
        <v>0</v>
      </c>
      <c r="J8" s="14">
        <f>TableDataEentryClients[[#This Row],[IT P. +]]/TableDataEentryClients[[#This Row],[Units]]</f>
        <v>0</v>
      </c>
      <c r="K8" s="21">
        <v>0</v>
      </c>
      <c r="L8" s="13">
        <f>TableDataEentryClients[[#This Row],[IT Premium]]/TableDataEentryClients[[#This Row],[Units]]</f>
        <v>0</v>
      </c>
      <c r="M8" s="13">
        <v>0</v>
      </c>
      <c r="N8" s="13">
        <f>TableDataEentryClients[[#This Row],[%IT Premium2]]/TableDataEentryClients[[#This Row],[Units]]</f>
        <v>0</v>
      </c>
      <c r="O8" s="13">
        <v>0</v>
      </c>
      <c r="P8" s="13">
        <f>TableDataEentryClients[[#This Row],[SPT]]/TableDataEentryClients[[#This Row],[Units]]</f>
        <v>0</v>
      </c>
      <c r="Q8" s="1">
        <v>0</v>
      </c>
      <c r="R8" s="16">
        <f>TableDataEentryClients[[#This Row],[Leads]]/TableDataEentryClients[[#This Row],[Units]]</f>
        <v>0</v>
      </c>
      <c r="S8" s="17">
        <v>0</v>
      </c>
      <c r="T8" s="18">
        <f>TableDataEentryClients[[#This Row],[Sourcers]]/TableDataEentryClients[[#This Row],[Units]]</f>
        <v>0</v>
      </c>
      <c r="U8" s="12">
        <f>TableDataEentryClients[[#This Row],[Units]]/SUM(TableDataEentryClients[Units])</f>
        <v>5.7142857142857141E-2</v>
      </c>
    </row>
    <row r="9" spans="3:24" x14ac:dyDescent="0.25">
      <c r="C9" s="4" t="s">
        <v>20</v>
      </c>
      <c r="D9" s="3">
        <f>SUM(TableDataEentryClients[[#This Row],[Premium+]]+TableDataEentryClients[[#This Row],[IT P. +]]+TableDataEentryClients[[#This Row],[Leads]])+TableDataEentryClients[[#This Row],[Premium]]+TableDataEentryClients[[#This Row],[IT Premium]]+TableDataEentryClients[[#This Row],[Sourcers]]+TableDataEentryClients[[#This Row],[SPT]]+TableDataEentryClients[[#This Row],[SPT +]]</f>
        <v>4</v>
      </c>
      <c r="E9" s="1">
        <v>3</v>
      </c>
      <c r="F9" s="12">
        <f>TableDataEentryClients[[#This Row],[Premium+]]/TableDataEentryClients[[#This Row],[Units]]</f>
        <v>0.75</v>
      </c>
      <c r="G9" s="20">
        <v>0</v>
      </c>
      <c r="H9" s="12">
        <f>TableDataEentryClients[[#This Row],[Premium]]/TableDataEentryClients[[#This Row],[Units]]</f>
        <v>0</v>
      </c>
      <c r="I9" s="1">
        <v>1</v>
      </c>
      <c r="J9" s="14">
        <f>TableDataEentryClients[[#This Row],[IT P. +]]/TableDataEentryClients[[#This Row],[Units]]</f>
        <v>0.25</v>
      </c>
      <c r="K9" s="21">
        <v>0</v>
      </c>
      <c r="L9" s="13">
        <f>TableDataEentryClients[[#This Row],[IT Premium]]/TableDataEentryClients[[#This Row],[Units]]</f>
        <v>0</v>
      </c>
      <c r="M9" s="13">
        <v>0</v>
      </c>
      <c r="N9" s="13">
        <f>TableDataEentryClients[[#This Row],[%IT Premium2]]/TableDataEentryClients[[#This Row],[Units]]</f>
        <v>0</v>
      </c>
      <c r="O9" s="13">
        <v>0</v>
      </c>
      <c r="P9" s="13">
        <f>TableDataEentryClients[[#This Row],[SPT]]/TableDataEentryClients[[#This Row],[Units]]</f>
        <v>0</v>
      </c>
      <c r="Q9" s="1">
        <v>0</v>
      </c>
      <c r="R9" s="16">
        <f>TableDataEentryClients[[#This Row],[Leads]]/TableDataEentryClients[[#This Row],[Units]]</f>
        <v>0</v>
      </c>
      <c r="S9" s="17">
        <v>0</v>
      </c>
      <c r="T9" s="18">
        <f>TableDataEentryClients[[#This Row],[Sourcers]]/TableDataEentryClients[[#This Row],[Units]]</f>
        <v>0</v>
      </c>
      <c r="U9" s="12">
        <f>TableDataEentryClients[[#This Row],[Units]]/SUM(TableDataEentryClients[Units])</f>
        <v>0.11428571428571428</v>
      </c>
    </row>
    <row r="10" spans="3:24" x14ac:dyDescent="0.25">
      <c r="C10" s="4" t="s">
        <v>21</v>
      </c>
      <c r="D10" s="3">
        <f>SUM(TableDataEentryClients[[#This Row],[Premium+]]+TableDataEentryClients[[#This Row],[IT P. +]]+TableDataEentryClients[[#This Row],[Leads]])+TableDataEentryClients[[#This Row],[Premium]]+TableDataEentryClients[[#This Row],[IT Premium]]+TableDataEentryClients[[#This Row],[Sourcers]]+TableDataEentryClients[[#This Row],[SPT]]+TableDataEentryClients[[#This Row],[SPT +]]</f>
        <v>2</v>
      </c>
      <c r="E10" s="1">
        <v>0</v>
      </c>
      <c r="F10" s="12">
        <f>TableDataEentryClients[[#This Row],[Premium+]]/TableDataEentryClients[[#This Row],[Units]]</f>
        <v>0</v>
      </c>
      <c r="G10" s="20">
        <v>0</v>
      </c>
      <c r="H10" s="12">
        <f>TableDataEentryClients[[#This Row],[Premium]]/TableDataEentryClients[[#This Row],[Units]]</f>
        <v>0</v>
      </c>
      <c r="I10" s="1">
        <v>2</v>
      </c>
      <c r="J10" s="14">
        <f>TableDataEentryClients[[#This Row],[IT P. +]]/TableDataEentryClients[[#This Row],[Units]]</f>
        <v>1</v>
      </c>
      <c r="K10" s="21">
        <v>0</v>
      </c>
      <c r="L10" s="13">
        <f>TableDataEentryClients[[#This Row],[IT Premium]]/TableDataEentryClients[[#This Row],[Units]]</f>
        <v>0</v>
      </c>
      <c r="M10" s="13">
        <v>0</v>
      </c>
      <c r="N10" s="13">
        <f>TableDataEentryClients[[#This Row],[%IT Premium2]]/TableDataEentryClients[[#This Row],[Units]]</f>
        <v>0</v>
      </c>
      <c r="O10" s="13">
        <v>0</v>
      </c>
      <c r="P10" s="13">
        <f>TableDataEentryClients[[#This Row],[SPT]]/TableDataEentryClients[[#This Row],[Units]]</f>
        <v>0</v>
      </c>
      <c r="Q10" s="1">
        <v>0</v>
      </c>
      <c r="R10" s="16">
        <f>TableDataEentryClients[[#This Row],[Leads]]/TableDataEentryClients[[#This Row],[Units]]</f>
        <v>0</v>
      </c>
      <c r="S10" s="17">
        <v>0</v>
      </c>
      <c r="T10" s="18">
        <f>TableDataEentryClients[[#This Row],[Sourcers]]/TableDataEentryClients[[#This Row],[Units]]</f>
        <v>0</v>
      </c>
      <c r="U10" s="12">
        <f>TableDataEentryClients[[#This Row],[Units]]/SUM(TableDataEentryClients[Units])</f>
        <v>5.7142857142857141E-2</v>
      </c>
    </row>
    <row r="11" spans="3:24" x14ac:dyDescent="0.25">
      <c r="C11" s="4" t="s">
        <v>22</v>
      </c>
      <c r="D11" s="3">
        <f>SUM(TableDataEentryClients[[#This Row],[Premium+]]+TableDataEentryClients[[#This Row],[IT P. +]]+TableDataEentryClients[[#This Row],[Leads]])+TableDataEentryClients[[#This Row],[Premium]]+TableDataEentryClients[[#This Row],[IT Premium]]+TableDataEentryClients[[#This Row],[Sourcers]]+TableDataEentryClients[[#This Row],[SPT]]+TableDataEentryClients[[#This Row],[SPT +]]</f>
        <v>1</v>
      </c>
      <c r="E11" s="1">
        <v>0</v>
      </c>
      <c r="F11" s="12">
        <f>TableDataEentryClients[[#This Row],[Premium+]]/TableDataEentryClients[[#This Row],[Units]]</f>
        <v>0</v>
      </c>
      <c r="G11" s="20">
        <v>0</v>
      </c>
      <c r="H11" s="12">
        <f>TableDataEentryClients[[#This Row],[Premium]]/TableDataEentryClients[[#This Row],[Units]]</f>
        <v>0</v>
      </c>
      <c r="I11" s="1">
        <v>1</v>
      </c>
      <c r="J11" s="14">
        <f>TableDataEentryClients[[#This Row],[IT P. +]]/TableDataEentryClients[[#This Row],[Units]]</f>
        <v>1</v>
      </c>
      <c r="K11" s="21">
        <v>0</v>
      </c>
      <c r="L11" s="13">
        <f>TableDataEentryClients[[#This Row],[IT Premium]]/TableDataEentryClients[[#This Row],[Units]]</f>
        <v>0</v>
      </c>
      <c r="M11" s="13">
        <v>0</v>
      </c>
      <c r="N11" s="13">
        <f>TableDataEentryClients[[#This Row],[%IT Premium2]]/TableDataEentryClients[[#This Row],[Units]]</f>
        <v>0</v>
      </c>
      <c r="O11" s="13">
        <v>0</v>
      </c>
      <c r="P11" s="13">
        <f>TableDataEentryClients[[#This Row],[SPT]]/TableDataEentryClients[[#This Row],[Units]]</f>
        <v>0</v>
      </c>
      <c r="Q11" s="1">
        <v>0</v>
      </c>
      <c r="R11" s="16">
        <f>TableDataEentryClients[[#This Row],[Leads]]/TableDataEentryClients[[#This Row],[Units]]</f>
        <v>0</v>
      </c>
      <c r="S11" s="7">
        <v>0</v>
      </c>
      <c r="T11" s="18">
        <f>TableDataEentryClients[[#This Row],[Sourcers]]/TableDataEentryClients[[#This Row],[Units]]</f>
        <v>0</v>
      </c>
      <c r="U11" s="12">
        <f>TableDataEentryClients[[#This Row],[Units]]/SUM(TableDataEentryClients[Units])</f>
        <v>2.8571428571428571E-2</v>
      </c>
    </row>
    <row r="12" spans="3:24" x14ac:dyDescent="0.25">
      <c r="C12" s="4" t="s">
        <v>23</v>
      </c>
      <c r="D12" s="3">
        <f>SUM(TableDataEentryClients[[#This Row],[Premium+]]+TableDataEentryClients[[#This Row],[IT P. +]]+TableDataEentryClients[[#This Row],[Leads]])+TableDataEentryClients[[#This Row],[Premium]]+TableDataEentryClients[[#This Row],[IT Premium]]+TableDataEentryClients[[#This Row],[Sourcers]]+TableDataEentryClients[[#This Row],[SPT]]+TableDataEentryClients[[#This Row],[SPT +]]</f>
        <v>1</v>
      </c>
      <c r="E12" s="1">
        <v>0</v>
      </c>
      <c r="F12" s="12">
        <f>TableDataEentryClients[[#This Row],[Premium+]]/TableDataEentryClients[[#This Row],[Units]]</f>
        <v>0</v>
      </c>
      <c r="G12" s="20">
        <v>1</v>
      </c>
      <c r="H12" s="12">
        <f>TableDataEentryClients[[#This Row],[Premium]]/TableDataEentryClients[[#This Row],[Units]]</f>
        <v>1</v>
      </c>
      <c r="I12" s="1">
        <v>0</v>
      </c>
      <c r="J12" s="14">
        <f>TableDataEentryClients[[#This Row],[IT P. +]]/TableDataEentryClients[[#This Row],[Units]]</f>
        <v>0</v>
      </c>
      <c r="K12" s="21">
        <v>0</v>
      </c>
      <c r="L12" s="13">
        <f>TableDataEentryClients[[#This Row],[IT Premium]]/TableDataEentryClients[[#This Row],[Units]]</f>
        <v>0</v>
      </c>
      <c r="M12" s="13">
        <v>0</v>
      </c>
      <c r="N12" s="13">
        <f>TableDataEentryClients[[#This Row],[%IT Premium2]]/TableDataEentryClients[[#This Row],[Units]]</f>
        <v>0</v>
      </c>
      <c r="O12" s="13">
        <v>0</v>
      </c>
      <c r="P12" s="13">
        <f>TableDataEentryClients[[#This Row],[SPT]]/TableDataEentryClients[[#This Row],[Units]]</f>
        <v>0</v>
      </c>
      <c r="Q12" s="1">
        <v>0</v>
      </c>
      <c r="R12" s="16">
        <f>TableDataEentryClients[[#This Row],[Leads]]/TableDataEentryClients[[#This Row],[Units]]</f>
        <v>0</v>
      </c>
      <c r="S12" s="7">
        <v>0</v>
      </c>
      <c r="T12" s="18">
        <f>TableDataEentryClients[[#This Row],[Sourcers]]/TableDataEentryClients[[#This Row],[Units]]</f>
        <v>0</v>
      </c>
      <c r="U12" s="12">
        <f>TableDataEentryClients[[#This Row],[Units]]/SUM(TableDataEentryClients[Units])</f>
        <v>2.8571428571428571E-2</v>
      </c>
    </row>
    <row r="13" spans="3:24" x14ac:dyDescent="0.25">
      <c r="C13" s="4" t="s">
        <v>24</v>
      </c>
      <c r="D13" s="3">
        <f>SUM(TableDataEentryClients[[#This Row],[Premium+]]+TableDataEentryClients[[#This Row],[IT P. +]]+TableDataEentryClients[[#This Row],[Leads]])+TableDataEentryClients[[#This Row],[Premium]]+TableDataEentryClients[[#This Row],[IT Premium]]+TableDataEentryClients[[#This Row],[Sourcers]]+TableDataEentryClients[[#This Row],[SPT]]+TableDataEentryClients[[#This Row],[SPT +]]</f>
        <v>1</v>
      </c>
      <c r="E13" s="1">
        <v>0</v>
      </c>
      <c r="F13" s="12">
        <f>TableDataEentryClients[[#This Row],[Premium+]]/TableDataEentryClients[[#This Row],[Units]]</f>
        <v>0</v>
      </c>
      <c r="G13" s="20">
        <v>1</v>
      </c>
      <c r="H13" s="12">
        <f>TableDataEentryClients[[#This Row],[Premium]]/TableDataEentryClients[[#This Row],[Units]]</f>
        <v>1</v>
      </c>
      <c r="I13" s="1">
        <v>0</v>
      </c>
      <c r="J13" s="14">
        <f>TableDataEentryClients[[#This Row],[IT P. +]]/TableDataEentryClients[[#This Row],[Units]]</f>
        <v>0</v>
      </c>
      <c r="K13" s="21">
        <v>0</v>
      </c>
      <c r="L13" s="13">
        <f>TableDataEentryClients[[#This Row],[IT Premium]]/TableDataEentryClients[[#This Row],[Units]]</f>
        <v>0</v>
      </c>
      <c r="M13" s="13">
        <v>0</v>
      </c>
      <c r="N13" s="13">
        <f>TableDataEentryClients[[#This Row],[%IT Premium2]]/TableDataEentryClients[[#This Row],[Units]]</f>
        <v>0</v>
      </c>
      <c r="O13" s="13">
        <v>0</v>
      </c>
      <c r="P13" s="13">
        <f>TableDataEentryClients[[#This Row],[SPT]]/TableDataEentryClients[[#This Row],[Units]]</f>
        <v>0</v>
      </c>
      <c r="Q13" s="1">
        <v>0</v>
      </c>
      <c r="R13" s="16">
        <f>TableDataEentryClients[[#This Row],[Leads]]/TableDataEentryClients[[#This Row],[Units]]</f>
        <v>0</v>
      </c>
      <c r="S13" s="7">
        <v>0</v>
      </c>
      <c r="T13" s="18">
        <f>TableDataEentryClients[[#This Row],[Sourcers]]/TableDataEentryClients[[#This Row],[Units]]</f>
        <v>0</v>
      </c>
      <c r="U13" s="12">
        <f>TableDataEentryClients[[#This Row],[Units]]/SUM(TableDataEentryClients[Units])</f>
        <v>2.8571428571428571E-2</v>
      </c>
    </row>
    <row r="14" spans="3:24" x14ac:dyDescent="0.25">
      <c r="C14" s="1" t="s">
        <v>41</v>
      </c>
      <c r="D14" s="3">
        <f>SUM(TableDataEentryClients[[#This Row],[Premium+]]+TableDataEentryClients[[#This Row],[IT P. +]]+TableDataEentryClients[[#This Row],[Leads]])+TableDataEentryClients[[#This Row],[Premium]]+TableDataEentryClients[[#This Row],[IT Premium]]+TableDataEentryClients[[#This Row],[Sourcers]]+TableDataEentryClients[[#This Row],[SPT]]+TableDataEentryClients[[#This Row],[SPT +]]</f>
        <v>1</v>
      </c>
      <c r="E14" s="1">
        <v>1</v>
      </c>
      <c r="F14" s="12">
        <f>TableDataEentryClients[[#This Row],[Premium+]]/TableDataEentryClients[[#This Row],[Units]]</f>
        <v>1</v>
      </c>
      <c r="G14" s="20">
        <v>0</v>
      </c>
      <c r="H14" s="12">
        <f>TableDataEentryClients[[#This Row],[Premium]]/TableDataEentryClients[[#This Row],[Units]]</f>
        <v>0</v>
      </c>
      <c r="I14" s="1">
        <v>0</v>
      </c>
      <c r="J14" s="14">
        <f>TableDataEentryClients[[#This Row],[IT P. +]]/TableDataEentryClients[[#This Row],[Units]]</f>
        <v>0</v>
      </c>
      <c r="K14" s="21">
        <v>0</v>
      </c>
      <c r="L14" s="13">
        <f>TableDataEentryClients[[#This Row],[IT Premium]]/TableDataEentryClients[[#This Row],[Units]]</f>
        <v>0</v>
      </c>
      <c r="M14" s="13">
        <v>0</v>
      </c>
      <c r="N14" s="13">
        <f>TableDataEentryClients[[#This Row],[%IT Premium2]]/TableDataEentryClients[[#This Row],[Units]]</f>
        <v>0</v>
      </c>
      <c r="O14" s="13">
        <v>0</v>
      </c>
      <c r="P14" s="13">
        <f>TableDataEentryClients[[#This Row],[SPT]]/TableDataEentryClients[[#This Row],[Units]]</f>
        <v>0</v>
      </c>
      <c r="Q14" s="1">
        <v>0</v>
      </c>
      <c r="R14" s="37">
        <f>TableDataEentryClients[[#This Row],[Leads]]/TableDataEentryClients[[#This Row],[Units]]</f>
        <v>0</v>
      </c>
      <c r="S14" s="38">
        <v>0</v>
      </c>
      <c r="T14" s="39">
        <f>TableDataEentryClients[[#This Row],[Sourcers]]/TableDataEentryClients[[#This Row],[Units]]</f>
        <v>0</v>
      </c>
      <c r="U14" s="12">
        <f>TableDataEentryClients[[#This Row],[Units]]/SUM(TableDataEentryClients[Units])</f>
        <v>2.8571428571428571E-2</v>
      </c>
    </row>
    <row r="15" spans="3:24" x14ac:dyDescent="0.25">
      <c r="C15" s="4" t="s">
        <v>45</v>
      </c>
      <c r="D15" s="3">
        <f>SUM(TableDataEentryClients[[#This Row],[Premium+]]+TableDataEentryClients[[#This Row],[IT P. +]]+TableDataEentryClients[[#This Row],[Leads]])+TableDataEentryClients[[#This Row],[Premium]]+TableDataEentryClients[[#This Row],[IT Premium]]+TableDataEentryClients[[#This Row],[Sourcers]]+TableDataEentryClients[[#This Row],[SPT]]+TableDataEentryClients[[#This Row],[SPT +]]</f>
        <v>1</v>
      </c>
      <c r="E15" s="1">
        <v>0</v>
      </c>
      <c r="F15" s="12">
        <f>TableDataEentryClients[[#This Row],[Premium+]]/TableDataEentryClients[[#This Row],[Units]]</f>
        <v>0</v>
      </c>
      <c r="G15" s="20">
        <v>0</v>
      </c>
      <c r="H15" s="12">
        <f>TableDataEentryClients[[#This Row],[Premium]]/TableDataEentryClients[[#This Row],[Units]]</f>
        <v>0</v>
      </c>
      <c r="I15" s="1">
        <v>0</v>
      </c>
      <c r="J15" s="14">
        <f>TableDataEentryClients[[#This Row],[IT P. +]]/TableDataEentryClients[[#This Row],[Units]]</f>
        <v>0</v>
      </c>
      <c r="K15" s="21">
        <v>0</v>
      </c>
      <c r="L15" s="13">
        <f>TableDataEentryClients[[#This Row],[IT Premium]]/TableDataEentryClients[[#This Row],[Units]]</f>
        <v>0</v>
      </c>
      <c r="M15" s="13">
        <v>0</v>
      </c>
      <c r="N15" s="13">
        <f>TableDataEentryClients[[#This Row],[%IT Premium2]]/TableDataEentryClients[[#This Row],[Units]]</f>
        <v>0</v>
      </c>
      <c r="O15" s="13">
        <v>0</v>
      </c>
      <c r="P15" s="13">
        <f>TableDataEentryClients[[#This Row],[SPT]]/TableDataEentryClients[[#This Row],[Units]]</f>
        <v>0</v>
      </c>
      <c r="Q15" s="1">
        <v>0</v>
      </c>
      <c r="R15" s="37">
        <f>TableDataEentryClients[[#This Row],[Leads]]/TableDataEentryClients[[#This Row],[Units]]</f>
        <v>0</v>
      </c>
      <c r="S15" s="38">
        <v>1</v>
      </c>
      <c r="T15" s="39">
        <f>TableDataEentryClients[[#This Row],[Sourcers]]/TableDataEentryClients[[#This Row],[Units]]</f>
        <v>1</v>
      </c>
      <c r="U15" s="12">
        <f>TableDataEentryClients[[#This Row],[Units]]/SUM(TableDataEentryClients[Units])</f>
        <v>2.8571428571428571E-2</v>
      </c>
    </row>
    <row r="16" spans="3:24" x14ac:dyDescent="0.25">
      <c r="C16" s="4" t="s">
        <v>46</v>
      </c>
      <c r="D16" s="3">
        <f>SUM(TableDataEentryClients[[#This Row],[Premium+]]+TableDataEentryClients[[#This Row],[IT P. +]]+TableDataEentryClients[[#This Row],[Leads]])+TableDataEentryClients[[#This Row],[Premium]]+TableDataEentryClients[[#This Row],[IT Premium]]+TableDataEentryClients[[#This Row],[Sourcers]]+TableDataEentryClients[[#This Row],[SPT]]+TableDataEentryClients[[#This Row],[SPT +]]</f>
        <v>1</v>
      </c>
      <c r="E16" s="1">
        <v>0</v>
      </c>
      <c r="F16" s="12">
        <f>TableDataEentryClients[[#This Row],[Premium+]]/TableDataEentryClients[[#This Row],[Units]]</f>
        <v>0</v>
      </c>
      <c r="G16" s="20">
        <v>1</v>
      </c>
      <c r="H16" s="12">
        <f>TableDataEentryClients[[#This Row],[Premium]]/TableDataEentryClients[[#This Row],[Units]]</f>
        <v>1</v>
      </c>
      <c r="I16" s="1">
        <v>0</v>
      </c>
      <c r="J16" s="14">
        <f>TableDataEentryClients[[#This Row],[IT P. +]]/TableDataEentryClients[[#This Row],[Units]]</f>
        <v>0</v>
      </c>
      <c r="K16" s="21">
        <v>0</v>
      </c>
      <c r="L16" s="13">
        <f>TableDataEentryClients[[#This Row],[IT Premium]]/TableDataEentryClients[[#This Row],[Units]]</f>
        <v>0</v>
      </c>
      <c r="M16" s="13">
        <v>0</v>
      </c>
      <c r="N16" s="13">
        <f>TableDataEentryClients[[#This Row],[%IT Premium2]]/TableDataEentryClients[[#This Row],[Units]]</f>
        <v>0</v>
      </c>
      <c r="O16" s="13">
        <v>0</v>
      </c>
      <c r="P16" s="13">
        <f>TableDataEentryClients[[#This Row],[SPT]]/TableDataEentryClients[[#This Row],[Units]]</f>
        <v>0</v>
      </c>
      <c r="Q16" s="1">
        <v>0</v>
      </c>
      <c r="R16" s="37">
        <f>TableDataEentryClients[[#This Row],[Leads]]/TableDataEentryClients[[#This Row],[Units]]</f>
        <v>0</v>
      </c>
      <c r="S16" s="38">
        <v>0</v>
      </c>
      <c r="T16" s="39">
        <f>TableDataEentryClients[[#This Row],[Sourcers]]/TableDataEentryClients[[#This Row],[Units]]</f>
        <v>0</v>
      </c>
      <c r="U16" s="12">
        <f>TableDataEentryClients[[#This Row],[Units]]/SUM(TableDataEentryClients[Units])</f>
        <v>2.8571428571428571E-2</v>
      </c>
    </row>
    <row r="17" spans="3:27" x14ac:dyDescent="0.25">
      <c r="C17" s="4" t="s">
        <v>47</v>
      </c>
      <c r="D17" s="3">
        <f>SUM(TableDataEentryClients[[#This Row],[Premium+]]+TableDataEentryClients[[#This Row],[IT P. +]]+TableDataEentryClients[[#This Row],[Leads]])+TableDataEentryClients[[#This Row],[Premium]]+TableDataEentryClients[[#This Row],[IT Premium]]+TableDataEentryClients[[#This Row],[Sourcers]]+TableDataEentryClients[[#This Row],[SPT]]+TableDataEentryClients[[#This Row],[SPT +]]</f>
        <v>1</v>
      </c>
      <c r="E17" s="1">
        <v>0</v>
      </c>
      <c r="F17" s="12">
        <f>TableDataEentryClients[[#This Row],[Premium+]]/TableDataEentryClients[[#This Row],[Units]]</f>
        <v>0</v>
      </c>
      <c r="G17" s="20">
        <v>0</v>
      </c>
      <c r="H17" s="12">
        <f>TableDataEentryClients[[#This Row],[Premium]]/TableDataEentryClients[[#This Row],[Units]]</f>
        <v>0</v>
      </c>
      <c r="I17" s="1">
        <v>0</v>
      </c>
      <c r="J17" s="14">
        <f>TableDataEentryClients[[#This Row],[IT P. +]]/TableDataEentryClients[[#This Row],[Units]]</f>
        <v>0</v>
      </c>
      <c r="K17" s="21">
        <v>0</v>
      </c>
      <c r="L17" s="13">
        <f>TableDataEentryClients[[#This Row],[IT Premium]]/TableDataEentryClients[[#This Row],[Units]]</f>
        <v>0</v>
      </c>
      <c r="M17" s="21">
        <v>1</v>
      </c>
      <c r="N17" s="13">
        <f>TableDataEentryClients[[#This Row],[%IT Premium2]]/TableDataEentryClients[[#This Row],[Units]]</f>
        <v>0</v>
      </c>
      <c r="O17" s="21">
        <v>0</v>
      </c>
      <c r="P17" s="13">
        <f>TableDataEentryClients[[#This Row],[SPT]]/TableDataEentryClients[[#This Row],[Units]]</f>
        <v>1</v>
      </c>
      <c r="Q17" s="1">
        <v>0</v>
      </c>
      <c r="R17" s="37">
        <f>TableDataEentryClients[[#This Row],[Leads]]/TableDataEentryClients[[#This Row],[Units]]</f>
        <v>0</v>
      </c>
      <c r="S17" s="38">
        <v>0</v>
      </c>
      <c r="T17" s="39">
        <f>TableDataEentryClients[[#This Row],[Sourcers]]/TableDataEentryClients[[#This Row],[Units]]</f>
        <v>0</v>
      </c>
      <c r="U17" s="12">
        <f>TableDataEentryClients[[#This Row],[Units]]/SUM(TableDataEentryClients[Units])</f>
        <v>2.8571428571428571E-2</v>
      </c>
    </row>
    <row r="18" spans="3:27" x14ac:dyDescent="0.25">
      <c r="C18" s="8" t="s">
        <v>75</v>
      </c>
      <c r="D18" s="3">
        <f>SUM(TableDataEentryClients[[#This Row],[Premium+]]+TableDataEentryClients[[#This Row],[IT P. +]]+TableDataEentryClients[[#This Row],[Leads]])+TableDataEentryClients[[#This Row],[Premium]]+TableDataEentryClients[[#This Row],[IT Premium]]+TableDataEentryClients[[#This Row],[Sourcers]]+TableDataEentryClients[[#This Row],[SPT]]+TableDataEentryClients[[#This Row],[SPT +]]</f>
        <v>1</v>
      </c>
      <c r="E18" s="1">
        <v>0</v>
      </c>
      <c r="F18" s="12">
        <f>TableDataEentryClients[[#This Row],[Premium+]]/TableDataEentryClients[[#This Row],[Units]]</f>
        <v>0</v>
      </c>
      <c r="G18" s="20">
        <v>1</v>
      </c>
      <c r="H18" s="12">
        <f>TableDataEentryClients[[#This Row],[Premium]]/TableDataEentryClients[[#This Row],[Units]]</f>
        <v>1</v>
      </c>
      <c r="I18" s="1">
        <v>0</v>
      </c>
      <c r="J18" s="14">
        <f>TableDataEentryClients[[#This Row],[IT P. +]]/TableDataEentryClients[[#This Row],[Units]]</f>
        <v>0</v>
      </c>
      <c r="K18" s="21">
        <v>0</v>
      </c>
      <c r="L18" s="13">
        <f>TableDataEentryClients[[#This Row],[IT Premium]]/TableDataEentryClients[[#This Row],[Units]]</f>
        <v>0</v>
      </c>
      <c r="M18" s="21">
        <v>0</v>
      </c>
      <c r="N18" s="13">
        <f>TableDataEentryClients[[#This Row],[%IT Premium2]]/TableDataEentryClients[[#This Row],[Units]]</f>
        <v>0</v>
      </c>
      <c r="O18" s="21">
        <v>0</v>
      </c>
      <c r="P18" s="13">
        <f>TableDataEentryClients[[#This Row],[SPT]]/TableDataEentryClients[[#This Row],[Units]]</f>
        <v>0</v>
      </c>
      <c r="Q18" s="1">
        <v>0</v>
      </c>
      <c r="R18" s="37">
        <f>TableDataEentryClients[[#This Row],[Leads]]/TableDataEentryClients[[#This Row],[Units]]</f>
        <v>0</v>
      </c>
      <c r="S18" s="38">
        <v>0</v>
      </c>
      <c r="T18" s="39">
        <f>TableDataEentryClients[[#This Row],[Sourcers]]/TableDataEentryClients[[#This Row],[Units]]</f>
        <v>0</v>
      </c>
      <c r="U18" s="12">
        <f>TableDataEentryClients[[#This Row],[Units]]/SUM(TableDataEentryClients[Units])</f>
        <v>2.8571428571428571E-2</v>
      </c>
    </row>
    <row r="19" spans="3:27" x14ac:dyDescent="0.25">
      <c r="C19" s="4"/>
      <c r="D19" s="3"/>
      <c r="E19" s="1"/>
      <c r="F19" s="12"/>
      <c r="G19" s="20"/>
      <c r="H19" s="12"/>
      <c r="I19" s="1"/>
      <c r="J19" s="14"/>
      <c r="K19" s="14"/>
      <c r="L19" s="13"/>
      <c r="M19" s="14"/>
      <c r="N19" s="14"/>
      <c r="O19" s="14"/>
      <c r="P19" s="14"/>
      <c r="Q19" s="1"/>
      <c r="R19" s="1"/>
      <c r="S19" s="7"/>
      <c r="T19" s="7"/>
      <c r="U19" s="43"/>
    </row>
    <row r="20" spans="3:27" x14ac:dyDescent="0.25">
      <c r="C20" s="4"/>
      <c r="D20" s="3"/>
      <c r="E20" s="1"/>
      <c r="F20" s="12"/>
      <c r="G20" s="20"/>
      <c r="H20" s="12"/>
      <c r="I20" s="1"/>
      <c r="J20" s="14"/>
      <c r="K20" s="14"/>
      <c r="L20" s="13"/>
      <c r="M20" s="14"/>
      <c r="N20" s="14"/>
      <c r="O20" s="14"/>
      <c r="P20" s="14"/>
      <c r="Q20" s="1"/>
      <c r="R20" s="1"/>
      <c r="S20" s="7"/>
      <c r="T20" s="7"/>
      <c r="U20" s="43"/>
    </row>
    <row r="21" spans="3:27" x14ac:dyDescent="0.25">
      <c r="C21" s="4"/>
      <c r="D21" s="3"/>
      <c r="E21" s="1"/>
      <c r="F21" s="12"/>
      <c r="G21" s="20"/>
      <c r="H21" s="12"/>
      <c r="I21" s="1"/>
      <c r="J21" s="14"/>
      <c r="K21" s="14"/>
      <c r="L21" s="13"/>
      <c r="M21" s="14"/>
      <c r="N21" s="14"/>
      <c r="O21" s="14"/>
      <c r="P21" s="14"/>
      <c r="Q21" s="1"/>
      <c r="R21" s="1"/>
      <c r="S21" s="7"/>
      <c r="T21" s="7"/>
      <c r="U21" s="43"/>
    </row>
    <row r="22" spans="3:27" x14ac:dyDescent="0.25">
      <c r="C22" s="4"/>
      <c r="D22" s="3"/>
      <c r="E22" s="1"/>
      <c r="F22" s="12"/>
      <c r="G22" s="20"/>
      <c r="H22" s="12"/>
      <c r="I22" s="1"/>
      <c r="J22" s="14"/>
      <c r="K22" s="14"/>
      <c r="L22" s="13"/>
      <c r="M22" s="14"/>
      <c r="N22" s="14"/>
      <c r="O22" s="14"/>
      <c r="P22" s="14"/>
      <c r="Q22" s="1"/>
      <c r="R22" s="1"/>
      <c r="S22" s="7"/>
      <c r="T22" s="7"/>
      <c r="U22" s="43"/>
    </row>
    <row r="23" spans="3:27" x14ac:dyDescent="0.25">
      <c r="C23" s="8"/>
      <c r="D23" s="3"/>
      <c r="E23" s="9"/>
      <c r="F23" s="12"/>
      <c r="G23" s="20"/>
      <c r="H23" s="12"/>
      <c r="I23" s="1"/>
      <c r="J23" s="14"/>
      <c r="K23" s="14"/>
      <c r="L23" s="14"/>
      <c r="M23" s="14"/>
      <c r="N23" s="14"/>
      <c r="O23" s="14"/>
      <c r="P23" s="14"/>
      <c r="Q23" s="5"/>
      <c r="R23" s="7"/>
      <c r="S23" s="7"/>
      <c r="T23" s="7"/>
      <c r="U23" s="12"/>
    </row>
    <row r="24" spans="3:27" x14ac:dyDescent="0.25">
      <c r="C24" s="4"/>
      <c r="D24" s="3"/>
      <c r="E24" s="1"/>
      <c r="F24" s="12"/>
      <c r="G24" s="20"/>
      <c r="H24" s="12"/>
      <c r="I24" s="1"/>
      <c r="J24" s="14"/>
      <c r="K24" s="14"/>
      <c r="L24" s="14"/>
      <c r="M24" s="14"/>
      <c r="N24" s="14"/>
      <c r="O24" s="14"/>
      <c r="P24" s="14"/>
      <c r="Q24" s="1"/>
      <c r="R24" s="7"/>
      <c r="S24" s="7"/>
      <c r="T24" s="7"/>
      <c r="U24" s="12"/>
    </row>
    <row r="25" spans="3:27" x14ac:dyDescent="0.25">
      <c r="C25" s="4"/>
      <c r="D25" s="3"/>
      <c r="E25" s="1"/>
      <c r="F25" s="12"/>
      <c r="G25" s="20"/>
      <c r="H25" s="12"/>
      <c r="I25" s="1"/>
      <c r="J25" s="14"/>
      <c r="K25" s="14"/>
      <c r="L25" s="14"/>
      <c r="M25" s="14"/>
      <c r="N25" s="14"/>
      <c r="O25" s="14"/>
      <c r="P25" s="14"/>
      <c r="Q25" s="1"/>
      <c r="R25" s="7"/>
      <c r="S25" s="7"/>
      <c r="T25" s="7"/>
      <c r="U25" s="12"/>
    </row>
    <row r="26" spans="3:27" x14ac:dyDescent="0.25">
      <c r="C26" s="4"/>
      <c r="D26" s="3"/>
      <c r="E26" s="1"/>
      <c r="F26" s="10"/>
      <c r="G26" s="20"/>
      <c r="H26" s="10"/>
      <c r="I26" s="1"/>
      <c r="J26" s="13"/>
      <c r="K26" s="13"/>
      <c r="L26" s="13"/>
      <c r="M26" s="13"/>
      <c r="N26" s="13"/>
      <c r="O26" s="13"/>
      <c r="P26" s="13"/>
      <c r="Q26" s="5"/>
      <c r="R26" s="7"/>
      <c r="S26" s="7"/>
      <c r="T26" s="7"/>
      <c r="U26" s="12"/>
    </row>
    <row r="27" spans="3:27" x14ac:dyDescent="0.25">
      <c r="C27" s="8" t="s">
        <v>25</v>
      </c>
      <c r="D27" s="19">
        <f>SUM(TableDataEentryClients[Units])</f>
        <v>35</v>
      </c>
      <c r="E27" s="9">
        <f>SUM(TableDataEentryClients[Premium+])</f>
        <v>23</v>
      </c>
      <c r="F27" s="15">
        <f>SUM(TableDataEentryClients[Premium+])/TableDataEentryClients[[#Totals],[Units]]</f>
        <v>0.65714285714285714</v>
      </c>
      <c r="G27" s="19">
        <f>SUBTOTAL(109,TableDataEentryClients[Premium])</f>
        <v>5</v>
      </c>
      <c r="H27" s="15">
        <f>TableDataEentryClients[[#Totals],[Premium]]/TableDataEentryClients[[#Totals],[Units]]</f>
        <v>0.14285714285714285</v>
      </c>
      <c r="I27" s="9">
        <f>SUM(TableDataEentryClients[IT P. +])</f>
        <v>5</v>
      </c>
      <c r="J27" s="15">
        <f>SUM(TableDataEentryClients[IT P. +])/TableDataEentryClients[[#Totals],[Units]]</f>
        <v>0.14285714285714285</v>
      </c>
      <c r="K27" s="19">
        <f>SUBTOTAL(109,TableDataEentryClients[IT Premium])</f>
        <v>0</v>
      </c>
      <c r="L27" s="15">
        <f>TableDataEentryClients[[#Totals],[IT Premium]]/TableDataEentryClients[[#Totals],[Units]]</f>
        <v>0</v>
      </c>
      <c r="M27" s="9">
        <f>SUBTOTAL(109,TableDataEentryClients[SPT])</f>
        <v>1</v>
      </c>
      <c r="N27" s="15">
        <f>SUBTOTAL(109,TableDataEentryClients[SPT %])</f>
        <v>0</v>
      </c>
      <c r="O27" s="9">
        <f>SUBTOTAL(109,TableDataEentryClients[SPT +])</f>
        <v>0</v>
      </c>
      <c r="P27" s="15">
        <f>SUBTOTAL(109,TableDataEentryClients[SPT + %])</f>
        <v>1</v>
      </c>
      <c r="Q27" s="9">
        <f>SUM(TableDataEentryClients[Leads])</f>
        <v>0</v>
      </c>
      <c r="R27" s="15">
        <f>SUM(Q3:Q26)/TableDataEentryClients[[#Totals],[Units]]</f>
        <v>0</v>
      </c>
      <c r="S27" s="9">
        <f>SUM(S3:S26)</f>
        <v>1</v>
      </c>
      <c r="T27" s="15">
        <f>TableDataEentryClients[[#Totals],[Sourcers]]/TableDataEentryClients[[#Totals],[Units]]</f>
        <v>2.8571428571428571E-2</v>
      </c>
      <c r="U27" s="15"/>
    </row>
    <row r="28" spans="3:27" x14ac:dyDescent="0.25">
      <c r="D28" s="22"/>
      <c r="E28">
        <f>+TableDataEentryClients[[#Totals],[Premium+]]*4</f>
        <v>92</v>
      </c>
      <c r="F28" s="23"/>
      <c r="G28" s="22"/>
      <c r="H28" s="23"/>
      <c r="J28" s="23"/>
      <c r="K28" s="22"/>
      <c r="L28" s="23"/>
      <c r="M28" s="23"/>
      <c r="N28" s="23"/>
      <c r="O28" s="23"/>
      <c r="P28" s="23"/>
      <c r="R28" s="23"/>
      <c r="T28" s="23"/>
      <c r="U28" s="23"/>
    </row>
    <row r="30" spans="3:27" x14ac:dyDescent="0.25">
      <c r="C30" s="26"/>
      <c r="D30" s="26"/>
    </row>
    <row r="31" spans="3:27" x14ac:dyDescent="0.25">
      <c r="D31" s="22"/>
      <c r="F31" s="40"/>
      <c r="G31" s="41"/>
      <c r="H31" s="40"/>
      <c r="J31" s="40"/>
      <c r="K31" s="41"/>
      <c r="L31" s="31"/>
      <c r="M31" s="31"/>
      <c r="N31" s="31"/>
      <c r="O31" s="31"/>
      <c r="P31" s="31"/>
      <c r="R31" s="40"/>
      <c r="T31" s="31"/>
      <c r="U31" s="40"/>
      <c r="X31" s="28"/>
    </row>
    <row r="32" spans="3:27" x14ac:dyDescent="0.25">
      <c r="T32" s="35"/>
      <c r="U32" s="24"/>
      <c r="Y32" s="28"/>
      <c r="Z32" s="28"/>
      <c r="AA32" s="28"/>
    </row>
    <row r="33" spans="4:27" x14ac:dyDescent="0.25">
      <c r="J33" s="28"/>
      <c r="K33" s="28"/>
      <c r="L33" s="27"/>
      <c r="M33" s="27"/>
      <c r="N33" s="27"/>
      <c r="O33" s="27"/>
      <c r="P33" s="27"/>
      <c r="Q33" s="30"/>
      <c r="R33" s="28"/>
      <c r="S33" s="30"/>
      <c r="W33" s="22"/>
      <c r="X33" s="28"/>
      <c r="Y33" s="28"/>
      <c r="Z33" s="28"/>
      <c r="AA33" s="28"/>
    </row>
    <row r="34" spans="4:27" ht="14.45" customHeight="1" x14ac:dyDescent="0.25">
      <c r="J34" s="28"/>
      <c r="K34" s="28"/>
      <c r="L34" s="28"/>
      <c r="M34" s="28"/>
      <c r="N34" s="28"/>
      <c r="O34" s="28"/>
      <c r="P34" s="28"/>
      <c r="Q34" s="30"/>
      <c r="R34" s="28"/>
      <c r="S34" s="30"/>
      <c r="T34" s="25"/>
      <c r="U34" s="24"/>
      <c r="W34" s="22"/>
      <c r="X34" s="22"/>
      <c r="Y34" s="28"/>
      <c r="Z34" s="27"/>
      <c r="AA34" s="28"/>
    </row>
    <row r="35" spans="4:27" x14ac:dyDescent="0.25">
      <c r="J35" s="28"/>
      <c r="K35" s="28"/>
      <c r="L35" s="27"/>
      <c r="M35" s="27"/>
      <c r="N35" s="27"/>
      <c r="O35" s="27"/>
      <c r="P35" s="27"/>
      <c r="Q35" s="30"/>
      <c r="R35" s="27"/>
      <c r="S35" s="30"/>
      <c r="T35" s="25"/>
      <c r="U35" s="24"/>
      <c r="Y35" s="30"/>
      <c r="Z35" s="30"/>
      <c r="AA35" s="30"/>
    </row>
    <row r="36" spans="4:27" x14ac:dyDescent="0.25">
      <c r="J36" s="28"/>
      <c r="K36" s="28"/>
      <c r="L36" s="28"/>
      <c r="M36" s="28"/>
      <c r="N36" s="28"/>
      <c r="O36" s="28"/>
      <c r="P36" s="28"/>
      <c r="Q36" s="30"/>
      <c r="R36" s="28"/>
      <c r="S36" s="30"/>
      <c r="W36" s="31"/>
      <c r="X36" s="31"/>
      <c r="Y36" s="28"/>
      <c r="Z36" s="27"/>
      <c r="AA36" s="28"/>
    </row>
    <row r="37" spans="4:27" x14ac:dyDescent="0.25">
      <c r="X37" s="30"/>
      <c r="Y37" s="30"/>
      <c r="Z37" s="30"/>
      <c r="AA37" s="30"/>
    </row>
    <row r="39" spans="4:27" x14ac:dyDescent="0.25">
      <c r="K39" s="36"/>
      <c r="L39" s="30"/>
      <c r="M39" s="30"/>
      <c r="N39" s="30"/>
      <c r="O39" s="30"/>
      <c r="P39" s="30"/>
    </row>
    <row r="40" spans="4:27" x14ac:dyDescent="0.25">
      <c r="K40" s="36"/>
      <c r="L40" s="30"/>
      <c r="M40" s="30"/>
      <c r="N40" s="30"/>
      <c r="O40" s="30"/>
      <c r="P40" s="30"/>
    </row>
    <row r="44" spans="4:27" x14ac:dyDescent="0.25">
      <c r="X44" s="22"/>
    </row>
    <row r="45" spans="4:27" x14ac:dyDescent="0.25">
      <c r="X45" s="22"/>
    </row>
    <row r="46" spans="4:27" x14ac:dyDescent="0.25">
      <c r="D46" s="22"/>
      <c r="X46" s="22"/>
    </row>
    <row r="47" spans="4:27" x14ac:dyDescent="0.25">
      <c r="D47" s="22"/>
      <c r="X47" s="22"/>
    </row>
    <row r="48" spans="4:27" x14ac:dyDescent="0.25">
      <c r="D48" s="22"/>
    </row>
    <row r="49" spans="4:4" x14ac:dyDescent="0.25">
      <c r="D49" s="22"/>
    </row>
  </sheetData>
  <phoneticPr fontId="3" type="noConversion"/>
  <conditionalFormatting sqref="U3:U13 U19:U2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4:U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742BF-2E2A-4666-9D04-B1992ECDBCF1}">
  <sheetPr codeName="Sheet3"/>
  <dimension ref="D3:F6"/>
  <sheetViews>
    <sheetView tabSelected="1" workbookViewId="0">
      <selection activeCell="E3" sqref="E3"/>
    </sheetView>
  </sheetViews>
  <sheetFormatPr defaultRowHeight="15" x14ac:dyDescent="0.25"/>
  <sheetData>
    <row r="3" spans="4:6" x14ac:dyDescent="0.25">
      <c r="D3" s="48">
        <f>E3/3500</f>
        <v>6.9142857142857145E-2</v>
      </c>
      <c r="E3">
        <v>242</v>
      </c>
      <c r="F3" t="s">
        <v>71</v>
      </c>
    </row>
    <row r="4" spans="4:6" x14ac:dyDescent="0.25">
      <c r="D4" s="48">
        <f t="shared" ref="D4:D6" si="0">E4/3500</f>
        <v>3.4514285714285713E-2</v>
      </c>
      <c r="E4">
        <v>120.8</v>
      </c>
      <c r="F4" t="s">
        <v>72</v>
      </c>
    </row>
    <row r="5" spans="4:6" x14ac:dyDescent="0.25">
      <c r="D5" s="48">
        <f t="shared" si="0"/>
        <v>4.1857142857142857E-2</v>
      </c>
      <c r="E5">
        <v>146.5</v>
      </c>
      <c r="F5" t="s">
        <v>73</v>
      </c>
    </row>
    <row r="6" spans="4:6" x14ac:dyDescent="0.25">
      <c r="D6" s="48">
        <f t="shared" si="0"/>
        <v>8.9114285714285701E-2</v>
      </c>
      <c r="E6">
        <v>311.89999999999998</v>
      </c>
      <c r="F6" t="s">
        <v>74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EB804DB7EF6FF40A9ABFEAB052DE353" ma:contentTypeVersion="4" ma:contentTypeDescription="Create a new document." ma:contentTypeScope="" ma:versionID="89abb69265006c8e83f6f9d598dbbd55">
  <xsd:schema xmlns:xsd="http://www.w3.org/2001/XMLSchema" xmlns:xs="http://www.w3.org/2001/XMLSchema" xmlns:p="http://schemas.microsoft.com/office/2006/metadata/properties" xmlns:ns2="14b3b203-32f4-43b1-9de2-c87e3a442e47" xmlns:ns3="f98064a4-ee5d-4a53-8822-cfbd28e940ab" targetNamespace="http://schemas.microsoft.com/office/2006/metadata/properties" ma:root="true" ma:fieldsID="2a0d579cc0422028c37b01e42aedd1e9" ns2:_="" ns3:_="">
    <xsd:import namespace="14b3b203-32f4-43b1-9de2-c87e3a442e47"/>
    <xsd:import namespace="f98064a4-ee5d-4a53-8822-cfbd28e940a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b3b203-32f4-43b1-9de2-c87e3a442e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8064a4-ee5d-4a53-8822-cfbd28e940a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65EE1FE-6351-4EA9-BFDD-1380645166C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A76F47D-F02A-4E0C-B033-440A5CC647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4b3b203-32f4-43b1-9de2-c87e3a442e47"/>
    <ds:schemaRef ds:uri="f98064a4-ee5d-4a53-8822-cfbd28e940a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A0D27B2-96DF-4578-8AFC-1036E9C03AC0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f98064a4-ee5d-4a53-8822-cfbd28e940ab"/>
    <ds:schemaRef ds:uri="http://purl.org/dc/terms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14b3b203-32f4-43b1-9de2-c87e3a442e4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Head Count</vt:lpstr>
      <vt:lpstr>Plan Info</vt:lpstr>
      <vt:lpstr>Recruitment Clients</vt:lpstr>
      <vt:lpstr>Logistics Revenue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040B98B7600-LAPTOP</dc:creator>
  <cp:keywords/>
  <dc:description/>
  <cp:lastModifiedBy>040B98B7600-LAPTOP</cp:lastModifiedBy>
  <cp:revision/>
  <dcterms:created xsi:type="dcterms:W3CDTF">2022-01-28T19:25:36Z</dcterms:created>
  <dcterms:modified xsi:type="dcterms:W3CDTF">2023-05-09T14:27:23Z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0x0101001EB804DB7EF6FF40A9ABFEAB052DE353</vt:lpwstr>
  </property>
</Properties>
</file>